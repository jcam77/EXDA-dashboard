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cb635f22ad1331/Bureau/Ingé 2A/S8/Stage/Préparation expérience/"/>
    </mc:Choice>
  </mc:AlternateContent>
  <xr:revisionPtr revIDLastSave="1105" documentId="8_{D0DD7A7C-7B0B-4C1B-A5AE-23478F389505}" xr6:coauthVersionLast="47" xr6:coauthVersionMax="47" xr10:uidLastSave="{627BDBD6-76D5-4F69-9E83-D87C41BC9A6B}"/>
  <bookViews>
    <workbookView xWindow="-108" yWindow="-108" windowWidth="23256" windowHeight="12456" xr2:uid="{0F907A58-12D0-425A-85FA-4500C8CE6C97}"/>
  </bookViews>
  <sheets>
    <sheet name="Sensors mapping" sheetId="3" r:id="rId1"/>
    <sheet name="Volume of the chamber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2" l="1"/>
  <c r="J23" i="2" s="1"/>
  <c r="I24" i="2"/>
  <c r="H17" i="2"/>
  <c r="H16" i="2"/>
  <c r="H15" i="2"/>
  <c r="H10" i="2"/>
  <c r="H11" i="2"/>
  <c r="I11" i="2" s="1"/>
  <c r="H12" i="2"/>
  <c r="H9" i="2"/>
  <c r="I9" i="2" s="1"/>
  <c r="H4" i="2"/>
  <c r="I4" i="2"/>
  <c r="I29" i="3"/>
  <c r="I31" i="3"/>
  <c r="I30" i="3"/>
  <c r="I28" i="3"/>
  <c r="I25" i="3"/>
  <c r="I24" i="3"/>
  <c r="I23" i="3"/>
  <c r="I32" i="3"/>
  <c r="G12" i="2"/>
  <c r="I15" i="2"/>
  <c r="H14" i="2"/>
  <c r="I14" i="2" s="1"/>
  <c r="I10" i="2"/>
  <c r="I12" i="2"/>
  <c r="J24" i="2"/>
  <c r="I16" i="2"/>
  <c r="I22" i="3"/>
  <c r="K21" i="3"/>
  <c r="I21" i="3"/>
  <c r="K20" i="3"/>
  <c r="K22" i="3" s="1"/>
  <c r="K19" i="3"/>
  <c r="K16" i="3"/>
  <c r="J16" i="3"/>
  <c r="K15" i="3"/>
  <c r="J15" i="3"/>
  <c r="K14" i="3"/>
  <c r="J14" i="3"/>
  <c r="K10" i="3"/>
  <c r="K9" i="3"/>
  <c r="J9" i="3"/>
  <c r="K8" i="3"/>
  <c r="J8" i="3"/>
  <c r="J10" i="3" s="1"/>
  <c r="I28" i="2" l="1"/>
  <c r="J28" i="2" s="1"/>
  <c r="H34" i="2" l="1"/>
  <c r="I34" i="2" s="1"/>
  <c r="I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tc={41B3CEB0-9722-4976-A88F-6D7AD3BCBAE5}</author>
    <author>tc={3CA43012-F1D0-4660-9C86-209962A916DB}</author>
    <author>tc={4E858750-5357-4117-9D35-2AEFE99287AF}</author>
    <author>tc={074C822F-63E1-470F-8BF5-908BC8217FFC}</author>
  </authors>
  <commentList>
    <comment ref="G12" authorId="0" shapeId="0" xr:uid="{41B3CEB0-9722-4976-A88F-6D7AD3BCBAE5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Plate thickness</t>
      </text>
    </comment>
    <comment ref="E15" authorId="1" shapeId="0" xr:uid="{3CA43012-F1D0-4660-9C86-209962A916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 for the moment  10 when RP6 &amp; LP6 will be drilled </t>
      </text>
    </comment>
    <comment ref="F16" authorId="2" shapeId="0" xr:uid="{4E858750-5357-4117-9D35-2AEFE99287AF}">
      <text>
        <t>[Threaded comment]
Your version of Excel allows you to read this threaded comment; however, any edits to it will get removed if the file is opened in a newer version of Excel. Learn more: https://go.microsoft.com/fwlink/?linkid=870924
Comment:
    Lxl= 0.603*0,610</t>
      </text>
    </comment>
    <comment ref="F23" authorId="3" shapeId="0" xr:uid="{074C822F-63E1-470F-8BF5-908BC8217FFC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 of one side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<sst xmlns="http://schemas.openxmlformats.org/spreadsheetml/2006/main" count="100" uniqueCount="92">
  <si>
    <t>plate</t>
  </si>
  <si>
    <t>sensors</t>
  </si>
  <si>
    <t>Right</t>
  </si>
  <si>
    <t>Left</t>
  </si>
  <si>
    <t>x</t>
  </si>
  <si>
    <t>y</t>
  </si>
  <si>
    <t>z</t>
  </si>
  <si>
    <t>Coordinates</t>
  </si>
  <si>
    <t>note</t>
  </si>
  <si>
    <t>Up</t>
  </si>
  <si>
    <t>NB: It assumes that captors are at the same level as the edge of the plate where they are located</t>
  </si>
  <si>
    <t>Adding volume</t>
  </si>
  <si>
    <t>Component</t>
  </si>
  <si>
    <t>Number</t>
  </si>
  <si>
    <t>Removing volume</t>
  </si>
  <si>
    <t>Bolts</t>
  </si>
  <si>
    <t>Plates</t>
  </si>
  <si>
    <t>Tube UV1</t>
  </si>
  <si>
    <t>Tube UV2</t>
  </si>
  <si>
    <t>Tube UV3</t>
  </si>
  <si>
    <t>diameter (m)</t>
  </si>
  <si>
    <t>Lenght (m)</t>
  </si>
  <si>
    <t>Pressur sensor holes</t>
  </si>
  <si>
    <t>Hole for ignition</t>
  </si>
  <si>
    <t>-</t>
  </si>
  <si>
    <t>width (m)</t>
  </si>
  <si>
    <t>height (m)</t>
  </si>
  <si>
    <t>Initial volume</t>
  </si>
  <si>
    <t>Width (m)</t>
  </si>
  <si>
    <t>Height (m)</t>
  </si>
  <si>
    <t>Depth (m)</t>
  </si>
  <si>
    <t>Volume  (m3)</t>
  </si>
  <si>
    <t>Volume (m3)</t>
  </si>
  <si>
    <t>Total Volume (m3)</t>
  </si>
  <si>
    <t>explosion chamber</t>
  </si>
  <si>
    <t>Total volume (m3)</t>
  </si>
  <si>
    <t>frame line for side plates</t>
  </si>
  <si>
    <t>frame line for up plates</t>
  </si>
  <si>
    <t>X</t>
  </si>
  <si>
    <t>Y</t>
  </si>
  <si>
    <t>Note</t>
  </si>
  <si>
    <t>Dictionnary</t>
  </si>
  <si>
    <t xml:space="preserve">A </t>
  </si>
  <si>
    <t>P</t>
  </si>
  <si>
    <t xml:space="preserve">Numerotation </t>
  </si>
  <si>
    <t>Bottom</t>
  </si>
  <si>
    <t>BV1</t>
  </si>
  <si>
    <t>BV2</t>
  </si>
  <si>
    <t>BV3</t>
  </si>
  <si>
    <t>BC1</t>
  </si>
  <si>
    <t>BC2</t>
  </si>
  <si>
    <t>BC3</t>
  </si>
  <si>
    <t>BI1</t>
  </si>
  <si>
    <t>gap plastic film</t>
  </si>
  <si>
    <t>BE1</t>
  </si>
  <si>
    <t>Volume (L)</t>
  </si>
  <si>
    <t>1L P</t>
  </si>
  <si>
    <t>2L P</t>
  </si>
  <si>
    <t>3L P</t>
  </si>
  <si>
    <t>4L P</t>
  </si>
  <si>
    <t>6L P</t>
  </si>
  <si>
    <t>5L P</t>
  </si>
  <si>
    <t>1R P</t>
  </si>
  <si>
    <t>2R P</t>
  </si>
  <si>
    <t>3R P</t>
  </si>
  <si>
    <t>4R P</t>
  </si>
  <si>
    <t>5R P</t>
  </si>
  <si>
    <t>6R  P</t>
  </si>
  <si>
    <t>1U P</t>
  </si>
  <si>
    <t>2U P</t>
  </si>
  <si>
    <t>3U P</t>
  </si>
  <si>
    <t>4U P</t>
  </si>
  <si>
    <t>BF1</t>
  </si>
  <si>
    <t>BC4</t>
  </si>
  <si>
    <t>Middle sampling point</t>
  </si>
  <si>
    <t>Top sampling point</t>
  </si>
  <si>
    <t>Bottom sampling point</t>
  </si>
  <si>
    <t>NB: The view of the plates are from outside the chamber</t>
  </si>
  <si>
    <t xml:space="preserve">air exit </t>
  </si>
  <si>
    <t>O</t>
  </si>
  <si>
    <t>origin of the reference frame</t>
  </si>
  <si>
    <t>small holes on the back plate</t>
  </si>
  <si>
    <t>Total adding volume</t>
  </si>
  <si>
    <t>Total removing volume</t>
  </si>
  <si>
    <t>Volume  (L)</t>
  </si>
  <si>
    <t>Used for charts (do not touch)</t>
  </si>
  <si>
    <t>Type of censor/holes (P=Pressure, C=Concentration sampling, V=Venting, I=Ignition, E: air Exit, F: hydrogene Filling )</t>
  </si>
  <si>
    <t>Iniatial of the plate (R=Right, L=Left, U= Up, B=Bottom)</t>
  </si>
  <si>
    <t xml:space="preserve">recirculation of air-hydrogen mixture sampled </t>
  </si>
  <si>
    <t>hydrogen entrance</t>
  </si>
  <si>
    <t>Emergency valve</t>
  </si>
  <si>
    <t xml:space="preserve">sensors : XA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</si>
</sst>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"/>
    <numFmt numFmtId="166" formatCode="0.00000"/>
    <numFmt numFmtId="170" formatCode="0.000000"/>
  </numFmts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9"/>
      <color indexed="81"/>
      <name val="Tahoma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C4C7C5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8">
    <xf numFmtId="0" fontId="0" fillId="0" borderId="0" xfId="0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3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7" fillId="0" borderId="0" xfId="0" applyFont="1"/>
    <xf numFmtId="0" fontId="0" fillId="0" borderId="0" xfId="0" applyAlignment="1">
      <alignment horizontal="center" vertical="center"/>
    </xf>
    <xf numFmtId="0" fontId="8" fillId="0" borderId="24" xfId="0" applyFont="1" applyBorder="1" applyAlignment="1">
      <alignment horizontal="left" vertical="center" wrapText="1" indent="1" readingOrder="1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25" xfId="0" applyFont="1" applyBorder="1" applyAlignment="1">
      <alignment horizontal="center" vertical="center" wrapText="1" readingOrder="1"/>
    </xf>
    <xf numFmtId="0" fontId="9" fillId="0" borderId="26" xfId="0" applyFont="1" applyBorder="1" applyAlignment="1">
      <alignment horizontal="center" vertical="center" wrapText="1" readingOrder="1"/>
    </xf>
    <xf numFmtId="0" fontId="9" fillId="0" borderId="27" xfId="0" applyFont="1" applyBorder="1" applyAlignment="1">
      <alignment horizontal="center" vertical="center" wrapText="1" readingOrder="1"/>
    </xf>
    <xf numFmtId="0" fontId="0" fillId="0" borderId="17" xfId="0" applyFill="1" applyBorder="1"/>
    <xf numFmtId="0" fontId="0" fillId="0" borderId="0" xfId="0" applyAlignment="1"/>
    <xf numFmtId="0" fontId="0" fillId="0" borderId="8" xfId="0" applyBorder="1" applyAlignment="1"/>
    <xf numFmtId="0" fontId="0" fillId="0" borderId="0" xfId="0" applyFill="1" applyBorder="1"/>
    <xf numFmtId="0" fontId="0" fillId="0" borderId="28" xfId="0" applyFill="1" applyBorder="1"/>
    <xf numFmtId="0" fontId="0" fillId="0" borderId="5" xfId="0" applyBorder="1"/>
    <xf numFmtId="0" fontId="0" fillId="0" borderId="5" xfId="0" applyFill="1" applyBorder="1"/>
    <xf numFmtId="0" fontId="0" fillId="0" borderId="6" xfId="0" applyBorder="1"/>
    <xf numFmtId="0" fontId="0" fillId="0" borderId="0" xfId="0" applyBorder="1"/>
    <xf numFmtId="0" fontId="1" fillId="2" borderId="0" xfId="1" applyAlignment="1">
      <alignment horizontal="center"/>
    </xf>
    <xf numFmtId="0" fontId="0" fillId="0" borderId="28" xfId="0" applyBorder="1"/>
    <xf numFmtId="0" fontId="7" fillId="0" borderId="17" xfId="0" applyFont="1" applyBorder="1"/>
    <xf numFmtId="0" fontId="7" fillId="0" borderId="8" xfId="0" applyFont="1" applyBorder="1"/>
    <xf numFmtId="0" fontId="7" fillId="0" borderId="1" xfId="0" applyFont="1" applyBorder="1"/>
    <xf numFmtId="0" fontId="7" fillId="0" borderId="10" xfId="0" applyFont="1" applyBorder="1"/>
    <xf numFmtId="0" fontId="7" fillId="0" borderId="2" xfId="0" applyFont="1" applyBorder="1"/>
    <xf numFmtId="0" fontId="7" fillId="0" borderId="12" xfId="0" applyFont="1" applyBorder="1"/>
    <xf numFmtId="165" fontId="0" fillId="0" borderId="7" xfId="0" applyNumberFormat="1" applyBorder="1"/>
    <xf numFmtId="165" fontId="0" fillId="0" borderId="5" xfId="0" applyNumberFormat="1" applyBorder="1"/>
    <xf numFmtId="165" fontId="0" fillId="0" borderId="0" xfId="0" applyNumberFormat="1" applyBorder="1"/>
    <xf numFmtId="166" fontId="0" fillId="0" borderId="0" xfId="0" applyNumberFormat="1"/>
    <xf numFmtId="0" fontId="0" fillId="0" borderId="29" xfId="0" applyBorder="1"/>
    <xf numFmtId="0" fontId="0" fillId="0" borderId="30" xfId="0" applyBorder="1"/>
    <xf numFmtId="0" fontId="0" fillId="0" borderId="2" xfId="0" applyBorder="1"/>
    <xf numFmtId="0" fontId="7" fillId="0" borderId="28" xfId="0" applyFont="1" applyBorder="1"/>
    <xf numFmtId="0" fontId="0" fillId="0" borderId="7" xfId="0" applyBorder="1" applyAlignment="1">
      <alignment horizontal="center" vertical="center"/>
    </xf>
    <xf numFmtId="0" fontId="7" fillId="0" borderId="0" xfId="0" applyFont="1" applyBorder="1"/>
    <xf numFmtId="0" fontId="7" fillId="0" borderId="20" xfId="0" applyFont="1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wrapText="1"/>
    </xf>
    <xf numFmtId="0" fontId="0" fillId="0" borderId="17" xfId="0" applyBorder="1" applyAlignment="1">
      <alignment vertical="center" wrapText="1"/>
    </xf>
    <xf numFmtId="0" fontId="0" fillId="0" borderId="32" xfId="0" applyBorder="1"/>
    <xf numFmtId="0" fontId="0" fillId="0" borderId="34" xfId="0" applyBorder="1"/>
    <xf numFmtId="0" fontId="0" fillId="0" borderId="38" xfId="0" applyBorder="1"/>
    <xf numFmtId="170" fontId="0" fillId="0" borderId="0" xfId="0" applyNumberFormat="1" applyBorder="1"/>
    <xf numFmtId="165" fontId="6" fillId="0" borderId="35" xfId="0" applyNumberFormat="1" applyFont="1" applyBorder="1"/>
    <xf numFmtId="165" fontId="6" fillId="0" borderId="36" xfId="0" applyNumberFormat="1" applyFont="1" applyBorder="1"/>
    <xf numFmtId="165" fontId="6" fillId="0" borderId="37" xfId="0" applyNumberFormat="1" applyFont="1" applyFill="1" applyBorder="1"/>
    <xf numFmtId="165" fontId="0" fillId="0" borderId="38" xfId="0" applyNumberFormat="1" applyBorder="1"/>
    <xf numFmtId="1" fontId="0" fillId="0" borderId="0" xfId="0" applyNumberFormat="1" applyBorder="1"/>
    <xf numFmtId="165" fontId="0" fillId="0" borderId="0" xfId="0" applyNumberFormat="1" applyBorder="1" applyAlignment="1">
      <alignment horizontal="center"/>
    </xf>
    <xf numFmtId="0" fontId="0" fillId="0" borderId="39" xfId="0" applyBorder="1"/>
    <xf numFmtId="0" fontId="0" fillId="0" borderId="31" xfId="0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Fill="1" applyBorder="1"/>
    <xf numFmtId="0" fontId="5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166" fontId="4" fillId="3" borderId="21" xfId="0" applyNumberFormat="1" applyFont="1" applyFill="1" applyBorder="1"/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5" fontId="4" fillId="4" borderId="31" xfId="0" applyNumberFormat="1" applyFont="1" applyFill="1" applyBorder="1"/>
    <xf numFmtId="170" fontId="4" fillId="4" borderId="31" xfId="0" applyNumberFormat="1" applyFont="1" applyFill="1" applyBorder="1"/>
    <xf numFmtId="2" fontId="5" fillId="4" borderId="32" xfId="0" applyNumberFormat="1" applyFont="1" applyFill="1" applyBorder="1" applyAlignment="1">
      <alignment horizontal="center"/>
    </xf>
    <xf numFmtId="2" fontId="5" fillId="4" borderId="33" xfId="0" applyNumberFormat="1" applyFont="1" applyFill="1" applyBorder="1" applyAlignment="1">
      <alignment horizontal="center"/>
    </xf>
    <xf numFmtId="2" fontId="5" fillId="4" borderId="34" xfId="0" applyNumberFormat="1" applyFont="1" applyFill="1" applyBorder="1" applyAlignment="1">
      <alignment horizontal="center"/>
    </xf>
    <xf numFmtId="0" fontId="5" fillId="4" borderId="32" xfId="0" applyFont="1" applyFill="1" applyBorder="1" applyAlignment="1">
      <alignment horizontal="center"/>
    </xf>
    <xf numFmtId="0" fontId="5" fillId="4" borderId="33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5" fillId="4" borderId="40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41" xfId="0" applyFont="1" applyFill="1" applyBorder="1" applyAlignment="1">
      <alignment horizontal="center"/>
    </xf>
    <xf numFmtId="0" fontId="4" fillId="4" borderId="42" xfId="0" applyFont="1" applyFill="1" applyBorder="1"/>
    <xf numFmtId="0" fontId="7" fillId="0" borderId="33" xfId="0" applyFont="1" applyBorder="1"/>
    <xf numFmtId="0" fontId="7" fillId="0" borderId="34" xfId="0" applyFont="1" applyBorder="1"/>
    <xf numFmtId="0" fontId="0" fillId="0" borderId="43" xfId="0" applyBorder="1" applyAlignment="1">
      <alignment horizontal="center"/>
    </xf>
    <xf numFmtId="0" fontId="0" fillId="0" borderId="4" xfId="0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 plate</a:t>
            </a:r>
            <a:r>
              <a:rPr lang="en-US" baseline="0"/>
              <a:t> sensors position (x=45cm)</a:t>
            </a:r>
            <a:endParaRPr lang="en-US"/>
          </a:p>
        </c:rich>
      </c:tx>
      <c:layout>
        <c:manualLayout>
          <c:xMode val="edge"/>
          <c:yMode val="edge"/>
          <c:x val="0.19911697787461949"/>
          <c:y val="7.650570986154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18854446991595"/>
          <c:y val="0.19287972222222222"/>
          <c:w val="0.68464129483814529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'Sensors mapping'!$H$13:$H$18</c:f>
              <c:strCache>
                <c:ptCount val="6"/>
                <c:pt idx="0">
                  <c:v>1L P</c:v>
                </c:pt>
                <c:pt idx="1">
                  <c:v>2L P</c:v>
                </c:pt>
                <c:pt idx="2">
                  <c:v>3L P</c:v>
                </c:pt>
                <c:pt idx="3">
                  <c:v>4L P</c:v>
                </c:pt>
                <c:pt idx="4">
                  <c:v>5L P</c:v>
                </c:pt>
                <c:pt idx="5">
                  <c:v>6L 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9.2747623603907273E-2"/>
                  <c:y val="-6.851883835582466E-2"/>
                </c:manualLayout>
              </c:layout>
              <c:tx>
                <c:rich>
                  <a:bodyPr/>
                  <a:lstStyle/>
                  <a:p>
                    <a:fld id="{3DBDF9CD-ABFE-4BCC-83C5-F919C25BDEF5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{3DBDF9CD-ABFE-4BCC-83C5-F919C25BDEF5}</c15:txfldGUID>
                      <c15:f>'Sensors mapping'!$H$13</c15:f>
                      <c15:dlblFieldTableCache>
                        <c:ptCount val="1"/>
                        <c:pt idx="0">
                          <c:v>1L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A3D6-4A7B-AC99-1C4F80D30805}"/>
                </c:ext>
              </c:extLst>
            </c:dLbl>
            <c:dLbl>
              <c:idx val="1"/>
              <c:layout>
                <c:manualLayout>
                  <c:x val="-0.14954366416699269"/>
                  <c:y val="-8.7082085766570574E-3"/>
                </c:manualLayout>
              </c:layout>
              <c:tx>
                <c:rich>
                  <a:bodyPr/>
                  <a:lstStyle/>
                  <a:p>
                    <a:fld id="{6EFFE43A-88C3-47C3-9184-CD8360FAC5A9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{6EFFE43A-88C3-47C3-9184-CD8360FAC5A9}</c15:txfldGUID>
                      <c15:f>'Sensors mapping'!$H$16</c15:f>
                      <c15:dlblFieldTableCache>
                        <c:ptCount val="1"/>
                        <c:pt idx="0">
                          <c:v>4L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A3D6-4A7B-AC99-1C4F80D30805}"/>
                </c:ext>
              </c:extLst>
            </c:dLbl>
            <c:dLbl>
              <c:idx val="2"/>
              <c:layout>
                <c:manualLayout>
                  <c:x val="8.419616638846375E-2"/>
                  <c:y val="3.51132925245532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A0DF88E-4691-4E63-98DB-0DD3A8DCA8B5}" type="CELLREF">
                      <a:rPr lang="en-US"/>
                      <a:pPr>
                        <a:defRPr/>
                      </a:pPr>
                      <a:t>[CELLREF]</a:t>
                    </a:fld>
                    <a:endParaRPr lang="fr-F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197983517010105E-2"/>
                      <c:h val="5.9704706516672805E-2"/>
                    </c:manualLayout>
                  </c15:layout>
                  <c15:dlblFieldTable>
                    <c15:dlblFTEntry>
                      <c15:txfldGUID>{5A0DF88E-4691-4E63-98DB-0DD3A8DCA8B5}</c15:txfldGUID>
                      <c15:f>'Sensors mapping'!$H$15</c15:f>
                      <c15:dlblFieldTableCache>
                        <c:ptCount val="1"/>
                        <c:pt idx="0">
                          <c:v>3L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A3D6-4A7B-AC99-1C4F80D30805}"/>
                </c:ext>
              </c:extLst>
            </c:dLbl>
            <c:dLbl>
              <c:idx val="3"/>
              <c:layout>
                <c:manualLayout>
                  <c:x val="7.2794223434539049E-2"/>
                  <c:y val="-1.5856026712811808E-2"/>
                </c:manualLayout>
              </c:layout>
              <c:tx>
                <c:rich>
                  <a:bodyPr/>
                  <a:lstStyle/>
                  <a:p>
                    <a:fld id="{52E78103-046D-4A09-9779-BB6DA2C19061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{52E78103-046D-4A09-9779-BB6DA2C19061}</c15:txfldGUID>
                      <c15:f>'Sensors mapping'!$H$14</c15:f>
                      <c15:dlblFieldTableCache>
                        <c:ptCount val="1"/>
                        <c:pt idx="0">
                          <c:v>2L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A3D6-4A7B-AC99-1C4F80D30805}"/>
                </c:ext>
              </c:extLst>
            </c:dLbl>
            <c:dLbl>
              <c:idx val="4"/>
              <c:layout>
                <c:manualLayout>
                  <c:x val="8.5521754480705467E-2"/>
                  <c:y val="-5.8213552530328901E-2"/>
                </c:manualLayout>
              </c:layout>
              <c:tx>
                <c:rich>
                  <a:bodyPr/>
                  <a:lstStyle/>
                  <a:p>
                    <a:fld id="{E1D28499-4BAA-4A47-9785-3BAFD159A879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{E1D28499-4BAA-4A47-9785-3BAFD159A879}</c15:txfldGUID>
                      <c15:f>'Sensors mapping'!$H$17</c15:f>
                      <c15:dlblFieldTableCache>
                        <c:ptCount val="1"/>
                        <c:pt idx="0">
                          <c:v>5L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A3D6-4A7B-AC99-1C4F80D30805}"/>
                </c:ext>
              </c:extLst>
            </c:dLbl>
            <c:dLbl>
              <c:idx val="5"/>
              <c:layout>
                <c:manualLayout>
                  <c:x val="8.5521754480705467E-2"/>
                  <c:y val="5.4257454089129312E-2"/>
                </c:manualLayout>
              </c:layout>
              <c:tx>
                <c:rich>
                  <a:bodyPr/>
                  <a:lstStyle/>
                  <a:p>
                    <a:fld id="{08D5637D-982F-4236-95AE-D95C5F0251FA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{08D5637D-982F-4236-95AE-D95C5F0251FA}</c15:txfldGUID>
                      <c15:f>'Sensors mapping'!$H$18</c15:f>
                      <c15:dlblFieldTableCache>
                        <c:ptCount val="1"/>
                        <c:pt idx="0">
                          <c:v>6L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3D6-4A7B-AC99-1C4F80D308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'Sensors mapping'!$K$13:$K$18</c:f>
              <c:numCache>
                <c:formatCode>General</c:formatCode>
                <c:ptCount val="6"/>
                <c:pt idx="0">
                  <c:v>39.6</c:v>
                </c:pt>
                <c:pt idx="1">
                  <c:v>37.6</c:v>
                </c:pt>
                <c:pt idx="2">
                  <c:v>39.6</c:v>
                </c:pt>
                <c:pt idx="3">
                  <c:v>41.6</c:v>
                </c:pt>
                <c:pt idx="4">
                  <c:v>39.9</c:v>
                </c:pt>
                <c:pt idx="5">
                  <c:v>40.299999999999997</c:v>
                </c:pt>
              </c:numCache>
            </c:numRef>
          </c:xVal>
          <c:yVal>
            <c:numRef>
              <c:f>'Sensors mapping'!$J$13:$J$18</c:f>
              <c:numCache>
                <c:formatCode>General</c:formatCode>
                <c:ptCount val="6"/>
                <c:pt idx="0">
                  <c:v>46.7</c:v>
                </c:pt>
                <c:pt idx="1">
                  <c:v>44.7</c:v>
                </c:pt>
                <c:pt idx="2">
                  <c:v>42.7</c:v>
                </c:pt>
                <c:pt idx="3">
                  <c:v>44.7</c:v>
                </c:pt>
                <c:pt idx="4">
                  <c:v>59.3</c:v>
                </c:pt>
                <c:pt idx="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D6-4A7B-AC99-1C4F80D30805}"/>
            </c:ext>
          </c:extLst>
        </c:ser>
        <c:ser>
          <c:idx val="1"/>
          <c:order val="1"/>
          <c:tx>
            <c:v>Cadre</c:v>
          </c:tx>
          <c:spPr>
            <a:ln w="2540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'Sensors mapping'!$U$57:$U$61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'Sensors mapping'!$V$57:$V$61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90</c:v>
                </c:pt>
                <c:pt idx="3">
                  <c:v>90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D6-4A7B-AC99-1C4F80D30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262624"/>
        <c:axId val="1304265024"/>
      </c:scatterChart>
      <c:valAx>
        <c:axId val="1304262624"/>
        <c:scaling>
          <c:orientation val="maxMin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5024"/>
        <c:crosses val="autoZero"/>
        <c:crossBetween val="midCat"/>
      </c:valAx>
      <c:valAx>
        <c:axId val="1304265024"/>
        <c:scaling>
          <c:orientation val="minMax"/>
          <c:max val="9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z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2624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Right plate</a:t>
            </a:r>
            <a:r>
              <a:rPr lang="en-US" baseline="0"/>
              <a:t> sensors position (x=-45cm)</a:t>
            </a:r>
            <a:endParaRPr lang="en-US"/>
          </a:p>
        </c:rich>
      </c:tx>
      <c:layout>
        <c:manualLayout>
          <c:xMode val="edge"/>
          <c:yMode val="edge"/>
          <c:x val="0.1877150349206948"/>
          <c:y val="7.650560897617231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948755224300683"/>
          <c:y val="0.19287984128680702"/>
          <c:w val="0.68464129483814529"/>
          <c:h val="0.72088764946048411"/>
        </c:manualLayout>
      </c:layout>
      <c:scatterChart>
        <c:scatterStyle val="lineMarker"/>
        <c:varyColors val="0"/>
        <c:ser>
          <c:idx val="2"/>
          <c:order val="0"/>
          <c:tx>
            <c:strRef>
              <c:f>'Sensors mapping'!$H$7:$H$12</c:f>
              <c:strCache>
                <c:ptCount val="6"/>
                <c:pt idx="0">
                  <c:v>1R P</c:v>
                </c:pt>
                <c:pt idx="1">
                  <c:v>2R P</c:v>
                </c:pt>
                <c:pt idx="2">
                  <c:v>3R P</c:v>
                </c:pt>
                <c:pt idx="3">
                  <c:v>4R P</c:v>
                </c:pt>
                <c:pt idx="4">
                  <c:v>5R P</c:v>
                </c:pt>
                <c:pt idx="5">
                  <c:v>6R  P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layout>
                <c:manualLayout>
                  <c:x val="8.9897137865425997E-2"/>
                  <c:y val="-8.3262147658635918E-2"/>
                </c:manualLayout>
              </c:layout>
              <c:tx>
                <c:rich>
                  <a:bodyPr/>
                  <a:lstStyle/>
                  <a:p>
                    <a:fld id="{82EE24B7-2C91-48CE-BD2C-334F13272E4F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{82EE24B7-2C91-48CE-BD2C-334F13272E4F}</c15:txfldGUID>
                      <c15:f>'Sensors mapping'!$H$7</c15:f>
                      <c15:dlblFieldTableCache>
                        <c:ptCount val="1"/>
                        <c:pt idx="0">
                          <c:v>1R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26F1-4628-A6E9-9D70F3E18840}"/>
                </c:ext>
              </c:extLst>
            </c:dLbl>
            <c:dLbl>
              <c:idx val="1"/>
              <c:layout>
                <c:manualLayout>
                  <c:x val="7.5644709173020214E-2"/>
                  <c:y val="-5.5201822131466837E-3"/>
                </c:manualLayout>
              </c:layout>
              <c:tx>
                <c:rich>
                  <a:bodyPr/>
                  <a:lstStyle/>
                  <a:p>
                    <a:fld id="{66C6C704-FB35-48DD-B7B6-69D44418E825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{66C6C704-FB35-48DD-B7B6-69D44418E825}</c15:txfldGUID>
                      <c15:f>'Sensors mapping'!$H$8</c15:f>
                      <c15:dlblFieldTableCache>
                        <c:ptCount val="1"/>
                        <c:pt idx="0">
                          <c:v>2R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26F1-4628-A6E9-9D70F3E18840}"/>
                </c:ext>
              </c:extLst>
            </c:dLbl>
            <c:dLbl>
              <c:idx val="2"/>
              <c:layout>
                <c:manualLayout>
                  <c:x val="9.2747623603907176E-2"/>
                  <c:y val="4.4398234983426973E-2"/>
                </c:manualLayout>
              </c:layout>
              <c:tx>
                <c:rich>
                  <a:bodyPr/>
                  <a:lstStyle/>
                  <a:p>
                    <a:fld id="{EC9F4939-316A-48B4-A62B-F83E593025C0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{EC9F4939-316A-48B4-A62B-F83E593025C0}</c15:txfldGUID>
                      <c15:f>'Sensors mapping'!$H$9</c15:f>
                      <c15:dlblFieldTableCache>
                        <c:ptCount val="1"/>
                        <c:pt idx="0">
                          <c:v>3R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26F1-4628-A6E9-9D70F3E18840}"/>
                </c:ext>
              </c:extLst>
            </c:dLbl>
            <c:dLbl>
              <c:idx val="3"/>
              <c:layout>
                <c:manualLayout>
                  <c:x val="-0.22389847243142622"/>
                  <c:y val="1.8676015764819075E-3"/>
                </c:manualLayout>
              </c:layout>
              <c:tx>
                <c:rich>
                  <a:bodyPr/>
                  <a:lstStyle/>
                  <a:p>
                    <a:fld id="{6E6A501B-0554-41EE-B5B7-F46A527EEE09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{6E6A501B-0554-41EE-B5B7-F46A527EEE09}</c15:txfldGUID>
                      <c15:f>'Sensors mapping'!$H$10</c15:f>
                      <c15:dlblFieldTableCache>
                        <c:ptCount val="1"/>
                        <c:pt idx="0">
                          <c:v>4R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6F1-4628-A6E9-9D70F3E18840}"/>
                </c:ext>
              </c:extLst>
            </c:dLbl>
            <c:dLbl>
              <c:idx val="4"/>
              <c:layout>
                <c:manualLayout>
                  <c:x val="8.9654958801503176E-2"/>
                  <c:y val="-4.7755148332688638E-2"/>
                </c:manualLayout>
              </c:layout>
              <c:tx>
                <c:rich>
                  <a:bodyPr/>
                  <a:lstStyle/>
                  <a:p>
                    <a:fld id="{BD0D080F-A011-4263-A9F7-4FACB0869C2F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{BD0D080F-A011-4263-A9F7-4FACB0869C2F}</c15:txfldGUID>
                      <c15:f>'Sensors mapping'!$H$11</c15:f>
                      <c15:dlblFieldTableCache>
                        <c:ptCount val="1"/>
                        <c:pt idx="0">
                          <c:v>5R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26F1-4628-A6E9-9D70F3E18840}"/>
                </c:ext>
              </c:extLst>
            </c:dLbl>
            <c:dLbl>
              <c:idx val="5"/>
              <c:layout>
                <c:manualLayout>
                  <c:x val="7.2552044370616117E-2"/>
                  <c:y val="2.6493353971493543E-2"/>
                </c:manualLayout>
              </c:layout>
              <c:tx>
                <c:rich>
                  <a:bodyPr/>
                  <a:lstStyle/>
                  <a:p>
                    <a:fld id="{86E120C5-47BB-4444-BDB5-C6BFB8D75E7B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{86E120C5-47BB-4444-BDB5-C6BFB8D75E7B}</c15:txfldGUID>
                      <c15:f>'Sensors mapping'!$H$12</c15:f>
                      <c15:dlblFieldTableCache>
                        <c:ptCount val="1"/>
                        <c:pt idx="0">
                          <c:v>6R 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26F1-4628-A6E9-9D70F3E1884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'Sensors mapping'!$K$7:$K$12</c:f>
              <c:numCache>
                <c:formatCode>General</c:formatCode>
                <c:ptCount val="6"/>
                <c:pt idx="0">
                  <c:v>38.1</c:v>
                </c:pt>
                <c:pt idx="1">
                  <c:v>40.1</c:v>
                </c:pt>
                <c:pt idx="2">
                  <c:v>38.1</c:v>
                </c:pt>
                <c:pt idx="3">
                  <c:v>36.1</c:v>
                </c:pt>
                <c:pt idx="4">
                  <c:v>38.1</c:v>
                </c:pt>
                <c:pt idx="5">
                  <c:v>38.5</c:v>
                </c:pt>
              </c:numCache>
            </c:numRef>
          </c:xVal>
          <c:yVal>
            <c:numRef>
              <c:f>'Sensors mapping'!$J$7:$J$12</c:f>
              <c:numCache>
                <c:formatCode>General</c:formatCode>
                <c:ptCount val="6"/>
                <c:pt idx="0">
                  <c:v>45.3</c:v>
                </c:pt>
                <c:pt idx="1">
                  <c:v>43.3</c:v>
                </c:pt>
                <c:pt idx="2">
                  <c:v>41.3</c:v>
                </c:pt>
                <c:pt idx="3">
                  <c:v>43.3</c:v>
                </c:pt>
                <c:pt idx="4">
                  <c:v>59.8</c:v>
                </c:pt>
                <c:pt idx="5">
                  <c:v>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F1-4628-A6E9-9D70F3E18840}"/>
            </c:ext>
          </c:extLst>
        </c:ser>
        <c:ser>
          <c:idx val="3"/>
          <c:order val="1"/>
          <c:tx>
            <c:v>Cadre</c:v>
          </c:tx>
          <c:spPr>
            <a:ln w="2540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'Sensors mapping'!$U$57:$U$61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'Sensors mapping'!$V$57:$V$61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90</c:v>
                </c:pt>
                <c:pt idx="3">
                  <c:v>90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6F1-4628-A6E9-9D70F3E1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262624"/>
        <c:axId val="1304265024"/>
      </c:scatterChart>
      <c:valAx>
        <c:axId val="130426262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y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headEnd type="none"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5024"/>
        <c:crosses val="autoZero"/>
        <c:crossBetween val="midCat"/>
      </c:valAx>
      <c:valAx>
        <c:axId val="1304265024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z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2624"/>
        <c:crossesAt val="0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Upper</a:t>
            </a:r>
            <a:r>
              <a:rPr lang="en-US" baseline="0"/>
              <a:t> </a:t>
            </a:r>
            <a:r>
              <a:rPr lang="en-US"/>
              <a:t>plate</a:t>
            </a:r>
            <a:r>
              <a:rPr lang="en-US" baseline="0"/>
              <a:t> sensors position (z=90cm)</a:t>
            </a:r>
            <a:endParaRPr lang="en-US"/>
          </a:p>
        </c:rich>
      </c:tx>
      <c:layout>
        <c:manualLayout>
          <c:xMode val="edge"/>
          <c:yMode val="edge"/>
          <c:x val="0.1877150349206948"/>
          <c:y val="7.650560897617231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948755224300683"/>
          <c:y val="0.19287984128680702"/>
          <c:w val="0.68464129483814529"/>
          <c:h val="0.72088764946048411"/>
        </c:manualLayout>
      </c:layout>
      <c:scatterChart>
        <c:scatterStyle val="lineMarker"/>
        <c:varyColors val="0"/>
        <c:ser>
          <c:idx val="2"/>
          <c:order val="0"/>
          <c:tx>
            <c:strRef>
              <c:f>'Sensors mapping'!$H$19:$H$22</c:f>
              <c:strCache>
                <c:ptCount val="4"/>
                <c:pt idx="0">
                  <c:v>1U P</c:v>
                </c:pt>
                <c:pt idx="1">
                  <c:v>2U P</c:v>
                </c:pt>
                <c:pt idx="2">
                  <c:v>3U P</c:v>
                </c:pt>
                <c:pt idx="3">
                  <c:v>4U P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layout>
                <c:manualLayout>
                  <c:x val="0.11871554868147069"/>
                  <c:y val="-8.849776196678058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628F8A94-D19D-4259-BEAD-5FBFE3303C09}" type="CELLREF">
                      <a:rPr lang="en-US"/>
                      <a:pPr>
                        <a:defRPr/>
                      </a:pPr>
                      <a:t>[CELLREF]</a:t>
                    </a:fld>
                    <a:endParaRPr lang="fr-FR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4673791085431299E-2"/>
                      <c:h val="6.7016463344625021E-2"/>
                    </c:manualLayout>
                  </c15:layout>
                  <c15:dlblFieldTable>
                    <c15:dlblFTEntry>
                      <c15:txfldGUID>{628F8A94-D19D-4259-BEAD-5FBFE3303C09}</c15:txfldGUID>
                      <c15:f>'Sensors mapping'!$H$19</c15:f>
                      <c15:dlblFieldTableCache>
                        <c:ptCount val="1"/>
                        <c:pt idx="0">
                          <c:v>1U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DBA4-467F-982A-82BB9AC3AE02}"/>
                </c:ext>
              </c:extLst>
            </c:dLbl>
            <c:dLbl>
              <c:idx val="1"/>
              <c:layout>
                <c:manualLayout>
                  <c:x val="9.5911662773621384E-2"/>
                  <c:y val="-1.4535607943111813E-2"/>
                </c:manualLayout>
              </c:layout>
              <c:tx>
                <c:rich>
                  <a:bodyPr/>
                  <a:lstStyle/>
                  <a:p>
                    <a:fld id="{2587042E-0460-4763-BE81-D9B3C661068A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{2587042E-0460-4763-BE81-D9B3C661068A}</c15:txfldGUID>
                      <c15:f>'Sensors mapping'!$H$20</c15:f>
                      <c15:dlblFieldTableCache>
                        <c:ptCount val="1"/>
                        <c:pt idx="0">
                          <c:v>2U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BA4-467F-982A-82BB9AC3AE02}"/>
                </c:ext>
              </c:extLst>
            </c:dLbl>
            <c:dLbl>
              <c:idx val="2"/>
              <c:layout>
                <c:manualLayout>
                  <c:x val="0.11301457720450833"/>
                  <c:y val="6.3412433577471949E-2"/>
                </c:manualLayout>
              </c:layout>
              <c:tx>
                <c:rich>
                  <a:bodyPr/>
                  <a:lstStyle/>
                  <a:p>
                    <a:fld id="{5CDD0EAE-240F-4B31-9B70-E12DB3CB4268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{5CDD0EAE-240F-4B31-9B70-E12DB3CB4268}</c15:txfldGUID>
                      <c15:f>'Sensors mapping'!$H$21</c15:f>
                      <c15:dlblFieldTableCache>
                        <c:ptCount val="1"/>
                        <c:pt idx="0">
                          <c:v>3U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BA4-467F-982A-82BB9AC3AE02}"/>
                </c:ext>
              </c:extLst>
            </c:dLbl>
            <c:dLbl>
              <c:idx val="3"/>
              <c:layout>
                <c:manualLayout>
                  <c:x val="-0.19483788255145862"/>
                  <c:y val="-3.9063295539413564E-3"/>
                </c:manualLayout>
              </c:layout>
              <c:tx>
                <c:rich>
                  <a:bodyPr/>
                  <a:lstStyle/>
                  <a:p>
                    <a:fld id="{4CDBC9F9-1324-4584-8256-0ABD3AE02CCF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{4CDBC9F9-1324-4584-8256-0ABD3AE02CCF}</c15:txfldGUID>
                      <c15:f>'Sensors mapping'!$H$22</c15:f>
                      <c15:dlblFieldTableCache>
                        <c:ptCount val="1"/>
                        <c:pt idx="0">
                          <c:v>4U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BA4-467F-982A-82BB9AC3AE0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'Sensors mapping'!$I$19:$I$22</c:f>
              <c:numCache>
                <c:formatCode>0.0000</c:formatCode>
                <c:ptCount val="4"/>
                <c:pt idx="0">
                  <c:v>1.9</c:v>
                </c:pt>
                <c:pt idx="1">
                  <c:v>0.1</c:v>
                </c:pt>
                <c:pt idx="2">
                  <c:v>1.9</c:v>
                </c:pt>
                <c:pt idx="3">
                  <c:v>3.9</c:v>
                </c:pt>
              </c:numCache>
            </c:numRef>
          </c:xVal>
          <c:yVal>
            <c:numRef>
              <c:f>'Sensors mapping'!$K$19:$K$22</c:f>
              <c:numCache>
                <c:formatCode>General</c:formatCode>
                <c:ptCount val="4"/>
                <c:pt idx="0">
                  <c:v>36.6</c:v>
                </c:pt>
                <c:pt idx="1">
                  <c:v>34.6</c:v>
                </c:pt>
                <c:pt idx="2">
                  <c:v>32.6</c:v>
                </c:pt>
                <c:pt idx="3">
                  <c:v>34.6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A4-467F-982A-82BB9AC3AE02}"/>
            </c:ext>
          </c:extLst>
        </c:ser>
        <c:ser>
          <c:idx val="3"/>
          <c:order val="1"/>
          <c:tx>
            <c:v>Cadre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'Sensors mapping'!$U$62:$U$66</c:f>
              <c:numCache>
                <c:formatCode>General</c:formatCode>
                <c:ptCount val="5"/>
                <c:pt idx="0">
                  <c:v>-45</c:v>
                </c:pt>
                <c:pt idx="1">
                  <c:v>-45</c:v>
                </c:pt>
                <c:pt idx="2">
                  <c:v>45</c:v>
                </c:pt>
                <c:pt idx="3">
                  <c:v>45</c:v>
                </c:pt>
                <c:pt idx="4">
                  <c:v>-45</c:v>
                </c:pt>
              </c:numCache>
            </c:numRef>
          </c:xVal>
          <c:yVal>
            <c:numRef>
              <c:f>'Sensors mapping'!$V$62:$V$66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A4-467F-982A-82BB9AC3AE0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04262624"/>
        <c:axId val="1304265024"/>
      </c:scatterChart>
      <c:valAx>
        <c:axId val="1304262624"/>
        <c:scaling>
          <c:orientation val="minMax"/>
          <c:max val="45"/>
          <c:min val="-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x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5024"/>
        <c:crosses val="autoZero"/>
        <c:crossBetween val="midCat"/>
      </c:valAx>
      <c:valAx>
        <c:axId val="1304265024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y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2624"/>
        <c:crossesAt val="0"/>
        <c:crossBetween val="midCat"/>
      </c:valAx>
    </c:plotArea>
    <c:plotVisOnly val="1"/>
    <c:dispBlanksAs val="gap"/>
    <c:showDLblsOverMax val="0"/>
    <c:extLst/>
  </c:chart>
  <c:spPr>
    <a:ln>
      <a:solidFill>
        <a:schemeClr val="accent1"/>
      </a:solidFill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</a:t>
            </a:r>
            <a:r>
              <a:rPr lang="en-US" baseline="0"/>
              <a:t> </a:t>
            </a:r>
            <a:r>
              <a:rPr lang="en-US"/>
              <a:t>plate</a:t>
            </a:r>
            <a:r>
              <a:rPr lang="en-US" baseline="0"/>
              <a:t>  position (y=0cm)</a:t>
            </a:r>
            <a:endParaRPr lang="en-US"/>
          </a:p>
        </c:rich>
      </c:tx>
      <c:layout>
        <c:manualLayout>
          <c:xMode val="edge"/>
          <c:yMode val="edge"/>
          <c:x val="0.27594469380999964"/>
          <c:y val="8.006112288381754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948755224300683"/>
          <c:y val="0.19287984128680702"/>
          <c:w val="0.68464129483814529"/>
          <c:h val="0.72088764946048411"/>
        </c:manualLayout>
      </c:layout>
      <c:scatterChart>
        <c:scatterStyle val="lineMarker"/>
        <c:varyColors val="0"/>
        <c:ser>
          <c:idx val="2"/>
          <c:order val="0"/>
          <c:tx>
            <c:strRef>
              <c:f>'Sensors mapping'!$H$23:$H$33</c:f>
              <c:strCache>
                <c:ptCount val="11"/>
                <c:pt idx="0">
                  <c:v>BV1</c:v>
                </c:pt>
                <c:pt idx="1">
                  <c:v>BV2</c:v>
                </c:pt>
                <c:pt idx="2">
                  <c:v>BV3</c:v>
                </c:pt>
                <c:pt idx="3">
                  <c:v>BC1</c:v>
                </c:pt>
                <c:pt idx="4">
                  <c:v>BC2</c:v>
                </c:pt>
                <c:pt idx="5">
                  <c:v>BI1</c:v>
                </c:pt>
                <c:pt idx="6">
                  <c:v>BE1</c:v>
                </c:pt>
                <c:pt idx="7">
                  <c:v>BC3</c:v>
                </c:pt>
                <c:pt idx="8">
                  <c:v>BC4</c:v>
                </c:pt>
                <c:pt idx="9">
                  <c:v>BF1</c:v>
                </c:pt>
                <c:pt idx="10">
                  <c:v>O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Pt>
            <c:idx val="0"/>
            <c:marker>
              <c:symbol val="circle"/>
              <c:size val="11"/>
              <c:spPr>
                <a:noFill/>
                <a:ln w="31750">
                  <a:solidFill>
                    <a:schemeClr val="accent3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B35-428E-A847-BBB18436EF19}"/>
              </c:ext>
            </c:extLst>
          </c:dPt>
          <c:dPt>
            <c:idx val="1"/>
            <c:marker>
              <c:symbol val="circle"/>
              <c:size val="11"/>
              <c:spPr>
                <a:noFill/>
                <a:ln w="31750" cap="rnd">
                  <a:solidFill>
                    <a:schemeClr val="accent3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B35-428E-A847-BBB18436EF19}"/>
              </c:ext>
            </c:extLst>
          </c:dPt>
          <c:dPt>
            <c:idx val="2"/>
            <c:marker>
              <c:symbol val="circle"/>
              <c:size val="11"/>
              <c:spPr>
                <a:noFill/>
                <a:ln w="31750">
                  <a:solidFill>
                    <a:schemeClr val="accent3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B35-428E-A847-BBB18436EF19}"/>
              </c:ext>
            </c:extLst>
          </c:dPt>
          <c:dPt>
            <c:idx val="5"/>
            <c:marker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B35-428E-A847-BBB18436EF19}"/>
              </c:ext>
            </c:extLst>
          </c:dPt>
          <c:dPt>
            <c:idx val="6"/>
            <c:marker>
              <c:spPr>
                <a:solidFill>
                  <a:srgbClr val="7030A0"/>
                </a:solidFill>
                <a:ln>
                  <a:solidFill>
                    <a:schemeClr val="accent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B35-428E-A847-BBB18436EF19}"/>
              </c:ext>
            </c:extLst>
          </c:dPt>
          <c:dPt>
            <c:idx val="9"/>
            <c:marker>
              <c:spPr>
                <a:solidFill>
                  <a:srgbClr val="7030A0"/>
                </a:solidFill>
                <a:ln>
                  <a:solidFill>
                    <a:srgbClr val="7030A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B35-428E-A847-BBB18436EF19}"/>
              </c:ext>
            </c:extLst>
          </c:dPt>
          <c:dPt>
            <c:idx val="10"/>
            <c:marker>
              <c:symbol val="diamond"/>
              <c:size val="7"/>
              <c:spPr>
                <a:solidFill>
                  <a:schemeClr val="tx1"/>
                </a:solidFill>
                <a:ln>
                  <a:solidFill>
                    <a:schemeClr val="tx1">
                      <a:alpha val="98000"/>
                    </a:schemeClr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B35-428E-A847-BBB18436EF1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564A9A0-7E22-4F67-93F7-0909B89441B5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{7564A9A0-7E22-4F67-93F7-0909B89441B5}</c15:txfldGUID>
                      <c15:f>'Sensors mapping'!$H$23</c15:f>
                      <c15:dlblFieldTableCache>
                        <c:ptCount val="1"/>
                        <c:pt idx="0">
                          <c:v>BV1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1B35-428E-A847-BBB18436EF1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7FA22ED-E28F-4D6D-87EA-12A29278D2DB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{D7FA22ED-E28F-4D6D-87EA-12A29278D2DB}</c15:txfldGUID>
                      <c15:f>'Sensors mapping'!$H$24</c15:f>
                      <c15:dlblFieldTableCache>
                        <c:ptCount val="1"/>
                        <c:pt idx="0">
                          <c:v>BV2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1B35-428E-A847-BBB18436EF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249ACCC-1F08-4FBA-A41F-59B131CD9E3D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{5249ACCC-1F08-4FBA-A41F-59B131CD9E3D}</c15:txfldGUID>
                      <c15:f>'Sensors mapping'!$H$25</c15:f>
                      <c15:dlblFieldTableCache>
                        <c:ptCount val="1"/>
                        <c:pt idx="0">
                          <c:v>BV3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1B35-428E-A847-BBB18436EF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C4B3808-1DA9-4AD1-B5F4-EBAE47F13A95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{7C4B3808-1DA9-4AD1-B5F4-EBAE47F13A95}</c15:txfldGUID>
                      <c15:f>'Sensors mapping'!$H$26</c15:f>
                      <c15:dlblFieldTableCache>
                        <c:ptCount val="1"/>
                        <c:pt idx="0">
                          <c:v>BC1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1B35-428E-A847-BBB18436EF1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44FAAAB-872E-4CA4-9DDB-0B9200B263F0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{944FAAAB-872E-4CA4-9DDB-0B9200B263F0}</c15:txfldGUID>
                      <c15:f>'Sensors mapping'!$H$27</c15:f>
                      <c15:dlblFieldTableCache>
                        <c:ptCount val="1"/>
                        <c:pt idx="0">
                          <c:v>BC2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1B35-428E-A847-BBB18436EF1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112696A-B1D2-4B10-89B5-413C259FB9B7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{6112696A-B1D2-4B10-89B5-413C259FB9B7}</c15:txfldGUID>
                      <c15:f>'Sensors mapping'!$H$28</c15:f>
                      <c15:dlblFieldTableCache>
                        <c:ptCount val="1"/>
                        <c:pt idx="0">
                          <c:v>BI1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1B35-428E-A847-BBB18436EF1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86BFD9A-6482-4B77-B449-31CD9B25B290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{E86BFD9A-6482-4B77-B449-31CD9B25B290}</c15:txfldGUID>
                      <c15:f>'Sensors mapping'!$H$29</c15:f>
                      <c15:dlblFieldTableCache>
                        <c:ptCount val="1"/>
                        <c:pt idx="0">
                          <c:v>BE1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1B35-428E-A847-BBB18436EF19}"/>
                </c:ext>
              </c:extLst>
            </c:dLbl>
            <c:dLbl>
              <c:idx val="7"/>
              <c:layout>
                <c:manualLayout>
                  <c:x val="-1.1943480066770637E-3"/>
                  <c:y val="-3.545587166887889E-2"/>
                </c:manualLayout>
              </c:layout>
              <c:tx>
                <c:rich>
                  <a:bodyPr/>
                  <a:lstStyle/>
                  <a:p>
                    <a:fld id="{BBE6A06C-1B12-42C5-A0EC-79B4FCEDEA8C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{BBE6A06C-1B12-42C5-A0EC-79B4FCEDEA8C}</c15:txfldGUID>
                      <c15:f>'Sensors mapping'!$H$30</c15:f>
                      <c15:dlblFieldTableCache>
                        <c:ptCount val="1"/>
                        <c:pt idx="0">
                          <c:v>BC3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1B35-428E-A847-BBB18436EF1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9C53D87-3A4A-4809-A3BA-0D00C21C0A7E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{39C53D87-3A4A-4809-A3BA-0D00C21C0A7E}</c15:txfldGUID>
                      <c15:f>'Sensors mapping'!$H$31</c15:f>
                      <c15:dlblFieldTableCache>
                        <c:ptCount val="1"/>
                        <c:pt idx="0">
                          <c:v>BC4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1B35-428E-A847-BBB18436EF1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55DEED5-70A2-4287-BD10-7CEE4B952032}" type="CELLREF">
                      <a:rPr lang="en-US"/>
                      <a:pPr/>
                      <a:t>[CELLREF]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{D55DEED5-70A2-4287-BD10-7CEE4B952032}</c15:txfldGUID>
                      <c15:f>'Sensors mapping'!$H$32</c15:f>
                      <c15:dlblFieldTableCache>
                        <c:ptCount val="1"/>
                        <c:pt idx="0">
                          <c:v>BF1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1B35-428E-A847-BBB18436EF19}"/>
                </c:ext>
              </c:extLst>
            </c:dLbl>
            <c:dLbl>
              <c:idx val="1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="1" i="1"/>
                    </a:pPr>
                    <a:fld id="{04BB1336-60BB-428D-A3D3-E511BA03E26E}" type="CELLREF">
                      <a:rPr lang="en-US" b="1" i="1"/>
                      <a:pPr>
                        <a:defRPr b="1" i="1"/>
                      </a:pPr>
                      <a:t>[CELLREF]</a:t>
                    </a:fld>
                    <a:endParaRPr lang="fr-FR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{04BB1336-60BB-428D-A3D3-E511BA03E26E}</c15:txfldGUID>
                      <c15:f>'Sensors mapping'!$H$33</c15:f>
                      <c15:dlblFieldTableCache>
                        <c:ptCount val="1"/>
                        <c:pt idx="0">
                          <c:v>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1B35-428E-A847-BBB18436EF1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'Sensors mapping'!$I$23:$I$33</c:f>
              <c:numCache>
                <c:formatCode>0.0000</c:formatCode>
                <c:ptCount val="11"/>
                <c:pt idx="0">
                  <c:v>29.299999999999997</c:v>
                </c:pt>
                <c:pt idx="1">
                  <c:v>-31.7</c:v>
                </c:pt>
                <c:pt idx="2">
                  <c:v>29.5</c:v>
                </c:pt>
                <c:pt idx="3">
                  <c:v>-0.1</c:v>
                </c:pt>
                <c:pt idx="4">
                  <c:v>0</c:v>
                </c:pt>
                <c:pt idx="5">
                  <c:v>0.5</c:v>
                </c:pt>
                <c:pt idx="6">
                  <c:v>36.4</c:v>
                </c:pt>
                <c:pt idx="7">
                  <c:v>-7.2000000000000028</c:v>
                </c:pt>
                <c:pt idx="8" formatCode="General">
                  <c:v>23.7</c:v>
                </c:pt>
                <c:pt idx="9" formatCode="General">
                  <c:v>-29.7</c:v>
                </c:pt>
                <c:pt idx="10" formatCode="General">
                  <c:v>0</c:v>
                </c:pt>
              </c:numCache>
            </c:numRef>
          </c:xVal>
          <c:yVal>
            <c:numRef>
              <c:f>'Sensors mapping'!$J$23:$J$33</c:f>
              <c:numCache>
                <c:formatCode>General</c:formatCode>
                <c:ptCount val="11"/>
                <c:pt idx="0">
                  <c:v>74.8</c:v>
                </c:pt>
                <c:pt idx="1">
                  <c:v>15</c:v>
                </c:pt>
                <c:pt idx="2">
                  <c:v>26.3</c:v>
                </c:pt>
                <c:pt idx="3">
                  <c:v>76.3</c:v>
                </c:pt>
                <c:pt idx="4">
                  <c:v>15.5</c:v>
                </c:pt>
                <c:pt idx="5">
                  <c:v>43.3</c:v>
                </c:pt>
                <c:pt idx="6">
                  <c:v>15.3</c:v>
                </c:pt>
                <c:pt idx="7">
                  <c:v>43.5</c:v>
                </c:pt>
                <c:pt idx="8">
                  <c:v>15.8</c:v>
                </c:pt>
                <c:pt idx="9">
                  <c:v>76.7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B35-428E-A847-BBB18436EF19}"/>
            </c:ext>
          </c:extLst>
        </c:ser>
        <c:ser>
          <c:idx val="3"/>
          <c:order val="1"/>
          <c:tx>
            <c:v>Cadre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'Sensors mapping'!$U$62:$U$67</c:f>
              <c:numCache>
                <c:formatCode>General</c:formatCode>
                <c:ptCount val="6"/>
                <c:pt idx="0">
                  <c:v>-45</c:v>
                </c:pt>
                <c:pt idx="1">
                  <c:v>-45</c:v>
                </c:pt>
                <c:pt idx="2">
                  <c:v>45</c:v>
                </c:pt>
                <c:pt idx="3">
                  <c:v>45</c:v>
                </c:pt>
                <c:pt idx="4">
                  <c:v>-45</c:v>
                </c:pt>
              </c:numCache>
            </c:numRef>
          </c:xVal>
          <c:yVal>
            <c:numRef>
              <c:f>'Sensors mapping'!$V$62:$V$66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B35-428E-A847-BBB18436E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262624"/>
        <c:axId val="1304265024"/>
      </c:scatterChart>
      <c:valAx>
        <c:axId val="1304262624"/>
        <c:scaling>
          <c:orientation val="maxMin"/>
          <c:max val="45"/>
          <c:min val="-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x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5024"/>
        <c:crosses val="autoZero"/>
        <c:crossBetween val="midCat"/>
      </c:valAx>
      <c:valAx>
        <c:axId val="1304265024"/>
        <c:scaling>
          <c:orientation val="minMax"/>
          <c:max val="9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z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21000"/>
              </a:schemeClr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2624"/>
        <c:crossesAt val="0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61419</xdr:colOff>
      <xdr:row>0</xdr:row>
      <xdr:rowOff>160731</xdr:rowOff>
    </xdr:from>
    <xdr:to>
      <xdr:col>16</xdr:col>
      <xdr:colOff>2078400</xdr:colOff>
      <xdr:row>17</xdr:row>
      <xdr:rowOff>33697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967BFC-9C7E-4575-9CE5-2619CE887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100954</xdr:colOff>
      <xdr:row>17</xdr:row>
      <xdr:rowOff>54197</xdr:rowOff>
    </xdr:from>
    <xdr:to>
      <xdr:col>16</xdr:col>
      <xdr:colOff>2117935</xdr:colOff>
      <xdr:row>37</xdr:row>
      <xdr:rowOff>3362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C7870D4-4A7B-4FC1-97EF-C0CBE01E2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108017</xdr:colOff>
      <xdr:row>36</xdr:row>
      <xdr:rowOff>185451</xdr:rowOff>
    </xdr:from>
    <xdr:to>
      <xdr:col>16</xdr:col>
      <xdr:colOff>2124998</xdr:colOff>
      <xdr:row>54</xdr:row>
      <xdr:rowOff>54138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9BABFB8-D10B-477B-AB38-9C81E2594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607834</xdr:colOff>
      <xdr:row>33</xdr:row>
      <xdr:rowOff>157661</xdr:rowOff>
    </xdr:from>
    <xdr:to>
      <xdr:col>11</xdr:col>
      <xdr:colOff>1537138</xdr:colOff>
      <xdr:row>53</xdr:row>
      <xdr:rowOff>127300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50D2D3D3-6E7C-4CFC-AFDF-8CE3D8FBE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570290</xdr:colOff>
      <xdr:row>17</xdr:row>
      <xdr:rowOff>51930</xdr:rowOff>
    </xdr:from>
    <xdr:to>
      <xdr:col>3</xdr:col>
      <xdr:colOff>38301</xdr:colOff>
      <xdr:row>33</xdr:row>
      <xdr:rowOff>154438</xdr:rowOff>
    </xdr:to>
    <xdr:sp macro="" textlink="">
      <xdr:nvSpPr>
        <xdr:cNvPr id="6" name="Cube 5">
          <a:extLst>
            <a:ext uri="{FF2B5EF4-FFF2-40B4-BE49-F238E27FC236}">
              <a16:creationId xmlns:a16="http://schemas.microsoft.com/office/drawing/2014/main" id="{123F09B4-5373-42C9-AFC5-8251C38F81A0}"/>
            </a:ext>
          </a:extLst>
        </xdr:cNvPr>
        <xdr:cNvSpPr/>
      </xdr:nvSpPr>
      <xdr:spPr>
        <a:xfrm>
          <a:off x="570290" y="3349312"/>
          <a:ext cx="3776775" cy="3205926"/>
        </a:xfrm>
        <a:prstGeom prst="cub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1238639</xdr:colOff>
      <xdr:row>18</xdr:row>
      <xdr:rowOff>60072</xdr:rowOff>
    </xdr:from>
    <xdr:to>
      <xdr:col>2</xdr:col>
      <xdr:colOff>1902668</xdr:colOff>
      <xdr:row>20</xdr:row>
      <xdr:rowOff>57021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A87C33-411B-429C-9D86-7D00A1C1425E}"/>
            </a:ext>
          </a:extLst>
        </xdr:cNvPr>
        <xdr:cNvSpPr txBox="1"/>
      </xdr:nvSpPr>
      <xdr:spPr>
        <a:xfrm>
          <a:off x="2332333" y="3520448"/>
          <a:ext cx="664029" cy="355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U</a:t>
          </a:r>
        </a:p>
      </xdr:txBody>
    </xdr:sp>
    <xdr:clientData/>
  </xdr:twoCellAnchor>
  <xdr:twoCellAnchor>
    <xdr:from>
      <xdr:col>2</xdr:col>
      <xdr:colOff>2763280</xdr:colOff>
      <xdr:row>25</xdr:row>
      <xdr:rowOff>156042</xdr:rowOff>
    </xdr:from>
    <xdr:to>
      <xdr:col>4</xdr:col>
      <xdr:colOff>108376</xdr:colOff>
      <xdr:row>27</xdr:row>
      <xdr:rowOff>144028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FC53468-7364-4DCC-9683-A65DCB802BF6}"/>
            </a:ext>
          </a:extLst>
        </xdr:cNvPr>
        <xdr:cNvSpPr txBox="1"/>
      </xdr:nvSpPr>
      <xdr:spPr>
        <a:xfrm>
          <a:off x="3856974" y="4880442"/>
          <a:ext cx="1173026" cy="346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L</a:t>
          </a:r>
        </a:p>
      </xdr:txBody>
    </xdr:sp>
    <xdr:clientData/>
  </xdr:twoCellAnchor>
  <xdr:twoCellAnchor>
    <xdr:from>
      <xdr:col>1</xdr:col>
      <xdr:colOff>190252</xdr:colOff>
      <xdr:row>26</xdr:row>
      <xdr:rowOff>29588</xdr:rowOff>
    </xdr:from>
    <xdr:to>
      <xdr:col>1</xdr:col>
      <xdr:colOff>864684</xdr:colOff>
      <xdr:row>28</xdr:row>
      <xdr:rowOff>17573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51A94F6-0CD9-4D03-B034-FCB7D57ECD8B}"/>
            </a:ext>
          </a:extLst>
        </xdr:cNvPr>
        <xdr:cNvSpPr txBox="1"/>
      </xdr:nvSpPr>
      <xdr:spPr>
        <a:xfrm>
          <a:off x="190252" y="4933282"/>
          <a:ext cx="674432" cy="346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R</a:t>
          </a:r>
        </a:p>
      </xdr:txBody>
    </xdr:sp>
    <xdr:clientData/>
  </xdr:twoCellAnchor>
  <xdr:twoCellAnchor>
    <xdr:from>
      <xdr:col>2</xdr:col>
      <xdr:colOff>1004916</xdr:colOff>
      <xdr:row>21</xdr:row>
      <xdr:rowOff>65102</xdr:rowOff>
    </xdr:from>
    <xdr:to>
      <xdr:col>2</xdr:col>
      <xdr:colOff>1668945</xdr:colOff>
      <xdr:row>23</xdr:row>
      <xdr:rowOff>40066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411B1A5-FB95-43AB-B358-83D9484C74E7}"/>
            </a:ext>
          </a:extLst>
        </xdr:cNvPr>
        <xdr:cNvSpPr txBox="1"/>
      </xdr:nvSpPr>
      <xdr:spPr>
        <a:xfrm>
          <a:off x="2098610" y="4063361"/>
          <a:ext cx="664029" cy="342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F</a:t>
          </a:r>
        </a:p>
      </xdr:txBody>
    </xdr:sp>
    <xdr:clientData/>
  </xdr:twoCellAnchor>
  <xdr:twoCellAnchor>
    <xdr:from>
      <xdr:col>2</xdr:col>
      <xdr:colOff>197556</xdr:colOff>
      <xdr:row>23</xdr:row>
      <xdr:rowOff>14112</xdr:rowOff>
    </xdr:from>
    <xdr:to>
      <xdr:col>2</xdr:col>
      <xdr:colOff>1896307</xdr:colOff>
      <xdr:row>31</xdr:row>
      <xdr:rowOff>166399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EDC2860-DF9A-46FD-AAE9-79529AE93220}"/>
            </a:ext>
          </a:extLst>
        </xdr:cNvPr>
        <xdr:cNvSpPr/>
      </xdr:nvSpPr>
      <xdr:spPr>
        <a:xfrm>
          <a:off x="1292065" y="4419857"/>
          <a:ext cx="1698751" cy="177326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396864</xdr:colOff>
      <xdr:row>27</xdr:row>
      <xdr:rowOff>22554</xdr:rowOff>
    </xdr:from>
    <xdr:to>
      <xdr:col>2</xdr:col>
      <xdr:colOff>1622414</xdr:colOff>
      <xdr:row>28</xdr:row>
      <xdr:rowOff>80541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997EB4D-301C-4FE6-B6EB-B768FBF6E3B5}"/>
            </a:ext>
          </a:extLst>
        </xdr:cNvPr>
        <xdr:cNvSpPr txBox="1"/>
      </xdr:nvSpPr>
      <xdr:spPr>
        <a:xfrm>
          <a:off x="1491373" y="5148736"/>
          <a:ext cx="1225550" cy="2380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Chamber opening</a:t>
          </a:r>
        </a:p>
      </xdr:txBody>
    </xdr:sp>
    <xdr:clientData/>
  </xdr:twoCellAnchor>
  <xdr:twoCellAnchor>
    <xdr:from>
      <xdr:col>3</xdr:col>
      <xdr:colOff>108495</xdr:colOff>
      <xdr:row>22</xdr:row>
      <xdr:rowOff>42251</xdr:rowOff>
    </xdr:from>
    <xdr:to>
      <xdr:col>4</xdr:col>
      <xdr:colOff>165746</xdr:colOff>
      <xdr:row>24</xdr:row>
      <xdr:rowOff>27011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166A52E-EF80-4C6D-BFD0-C065EC9ED199}"/>
            </a:ext>
          </a:extLst>
        </xdr:cNvPr>
        <xdr:cNvSpPr txBox="1"/>
      </xdr:nvSpPr>
      <xdr:spPr>
        <a:xfrm>
          <a:off x="4408352" y="4352994"/>
          <a:ext cx="666851" cy="354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B</a:t>
          </a:r>
        </a:p>
      </xdr:txBody>
    </xdr:sp>
    <xdr:clientData/>
  </xdr:twoCellAnchor>
  <xdr:twoCellAnchor editAs="oneCell">
    <xdr:from>
      <xdr:col>2</xdr:col>
      <xdr:colOff>1039906</xdr:colOff>
      <xdr:row>36</xdr:row>
      <xdr:rowOff>80683</xdr:rowOff>
    </xdr:from>
    <xdr:to>
      <xdr:col>2</xdr:col>
      <xdr:colOff>1954306</xdr:colOff>
      <xdr:row>41</xdr:row>
      <xdr:rowOff>98613</xdr:rowOff>
    </xdr:to>
    <xdr:pic>
      <xdr:nvPicPr>
        <xdr:cNvPr id="24" name="Graphic 23" descr="Arrow Right outline">
          <a:extLst>
            <a:ext uri="{FF2B5EF4-FFF2-40B4-BE49-F238E27FC236}">
              <a16:creationId xmlns:a16="http://schemas.microsoft.com/office/drawing/2014/main" id="{ED32283F-E96B-6915-DF7C-B64322BD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133600" y="6786283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645459</xdr:colOff>
      <xdr:row>34</xdr:row>
      <xdr:rowOff>35859</xdr:rowOff>
    </xdr:from>
    <xdr:to>
      <xdr:col>2</xdr:col>
      <xdr:colOff>1559859</xdr:colOff>
      <xdr:row>39</xdr:row>
      <xdr:rowOff>53789</xdr:rowOff>
    </xdr:to>
    <xdr:pic>
      <xdr:nvPicPr>
        <xdr:cNvPr id="25" name="Graphic 24" descr="Arrow Right outline">
          <a:extLst>
            <a:ext uri="{FF2B5EF4-FFF2-40B4-BE49-F238E27FC236}">
              <a16:creationId xmlns:a16="http://schemas.microsoft.com/office/drawing/2014/main" id="{80EEAA56-383B-40FF-91F5-2400F1E14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6200000">
          <a:off x="1739153" y="6382871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441647</xdr:colOff>
      <xdr:row>38</xdr:row>
      <xdr:rowOff>19142</xdr:rowOff>
    </xdr:from>
    <xdr:to>
      <xdr:col>2</xdr:col>
      <xdr:colOff>1275130</xdr:colOff>
      <xdr:row>42</xdr:row>
      <xdr:rowOff>135449</xdr:rowOff>
    </xdr:to>
    <xdr:pic>
      <xdr:nvPicPr>
        <xdr:cNvPr id="26" name="Graphic 25" descr="Arrow Right outline">
          <a:extLst>
            <a:ext uri="{FF2B5EF4-FFF2-40B4-BE49-F238E27FC236}">
              <a16:creationId xmlns:a16="http://schemas.microsoft.com/office/drawing/2014/main" id="{CE5DBB67-A4AA-4BB1-9A12-A1EA9812E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7966322">
          <a:off x="1535341" y="7083330"/>
          <a:ext cx="833483" cy="833483"/>
        </a:xfrm>
        <a:prstGeom prst="rect">
          <a:avLst/>
        </a:prstGeom>
      </xdr:spPr>
    </xdr:pic>
    <xdr:clientData/>
  </xdr:twoCellAnchor>
  <xdr:twoCellAnchor>
    <xdr:from>
      <xdr:col>2</xdr:col>
      <xdr:colOff>1792942</xdr:colOff>
      <xdr:row>37</xdr:row>
      <xdr:rowOff>35859</xdr:rowOff>
    </xdr:from>
    <xdr:to>
      <xdr:col>2</xdr:col>
      <xdr:colOff>2528048</xdr:colOff>
      <xdr:row>39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029F28F-A6E3-321B-79BC-471DBB0380A6}"/>
            </a:ext>
          </a:extLst>
        </xdr:cNvPr>
        <xdr:cNvSpPr txBox="1"/>
      </xdr:nvSpPr>
      <xdr:spPr>
        <a:xfrm>
          <a:off x="2886636" y="6920753"/>
          <a:ext cx="735106" cy="322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X</a:t>
          </a:r>
        </a:p>
      </xdr:txBody>
    </xdr:sp>
    <xdr:clientData/>
  </xdr:twoCellAnchor>
  <xdr:twoCellAnchor>
    <xdr:from>
      <xdr:col>2</xdr:col>
      <xdr:colOff>1237130</xdr:colOff>
      <xdr:row>33</xdr:row>
      <xdr:rowOff>98612</xdr:rowOff>
    </xdr:from>
    <xdr:to>
      <xdr:col>2</xdr:col>
      <xdr:colOff>1972236</xdr:colOff>
      <xdr:row>35</xdr:row>
      <xdr:rowOff>62753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2B7470A-5603-4E22-9D69-522F7BAA0767}"/>
            </a:ext>
          </a:extLst>
        </xdr:cNvPr>
        <xdr:cNvSpPr txBox="1"/>
      </xdr:nvSpPr>
      <xdr:spPr>
        <a:xfrm>
          <a:off x="2330824" y="6266330"/>
          <a:ext cx="735106" cy="322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z</a:t>
          </a:r>
        </a:p>
      </xdr:txBody>
    </xdr:sp>
    <xdr:clientData/>
  </xdr:twoCellAnchor>
  <xdr:twoCellAnchor>
    <xdr:from>
      <xdr:col>2</xdr:col>
      <xdr:colOff>564777</xdr:colOff>
      <xdr:row>39</xdr:row>
      <xdr:rowOff>1</xdr:rowOff>
    </xdr:from>
    <xdr:to>
      <xdr:col>2</xdr:col>
      <xdr:colOff>1299883</xdr:colOff>
      <xdr:row>40</xdr:row>
      <xdr:rowOff>143436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1EE3C48-4830-48B6-BF2A-34733D0FA3B4}"/>
            </a:ext>
          </a:extLst>
        </xdr:cNvPr>
        <xdr:cNvSpPr txBox="1"/>
      </xdr:nvSpPr>
      <xdr:spPr>
        <a:xfrm>
          <a:off x="1658471" y="7243483"/>
          <a:ext cx="735106" cy="322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409698</xdr:colOff>
      <xdr:row>7</xdr:row>
      <xdr:rowOff>63336</xdr:rowOff>
    </xdr:from>
    <xdr:to>
      <xdr:col>18</xdr:col>
      <xdr:colOff>15998</xdr:colOff>
      <xdr:row>22</xdr:row>
      <xdr:rowOff>353291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4E711DA-0443-4981-B7C7-88F787A6B186}"/>
            </a:ext>
          </a:extLst>
        </xdr:cNvPr>
        <xdr:cNvSpPr/>
      </xdr:nvSpPr>
      <xdr:spPr>
        <a:xfrm>
          <a:off x="13017334" y="1351809"/>
          <a:ext cx="3263900" cy="3033155"/>
        </a:xfrm>
        <a:prstGeom prst="cub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187448</xdr:colOff>
      <xdr:row>13</xdr:row>
      <xdr:rowOff>129722</xdr:rowOff>
    </xdr:from>
    <xdr:to>
      <xdr:col>16</xdr:col>
      <xdr:colOff>54098</xdr:colOff>
      <xdr:row>22</xdr:row>
      <xdr:rowOff>101930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E4CD183-9791-43B9-981D-230472828C88}"/>
            </a:ext>
          </a:extLst>
        </xdr:cNvPr>
        <xdr:cNvSpPr/>
      </xdr:nvSpPr>
      <xdr:spPr>
        <a:xfrm>
          <a:off x="13404684" y="2512704"/>
          <a:ext cx="1695450" cy="162089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454148</xdr:colOff>
      <xdr:row>17</xdr:row>
      <xdr:rowOff>173430</xdr:rowOff>
    </xdr:from>
    <xdr:to>
      <xdr:col>15</xdr:col>
      <xdr:colOff>460498</xdr:colOff>
      <xdr:row>19</xdr:row>
      <xdr:rowOff>51873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F7E4397-A2E3-4E3F-B719-4E32A14717F7}"/>
            </a:ext>
          </a:extLst>
        </xdr:cNvPr>
        <xdr:cNvSpPr txBox="1"/>
      </xdr:nvSpPr>
      <xdr:spPr>
        <a:xfrm>
          <a:off x="13671384" y="3276848"/>
          <a:ext cx="1225550" cy="23866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Chamber opening</a:t>
          </a:r>
        </a:p>
      </xdr:txBody>
    </xdr:sp>
    <xdr:clientData/>
  </xdr:twoCellAnchor>
  <xdr:twoCellAnchor>
    <xdr:from>
      <xdr:col>14</xdr:col>
      <xdr:colOff>605641</xdr:colOff>
      <xdr:row>8</xdr:row>
      <xdr:rowOff>0</xdr:rowOff>
    </xdr:from>
    <xdr:to>
      <xdr:col>16</xdr:col>
      <xdr:colOff>50470</xdr:colOff>
      <xdr:row>9</xdr:row>
      <xdr:rowOff>169223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DC0181-9023-962E-65AD-F80B9A59FEF1}"/>
            </a:ext>
          </a:extLst>
        </xdr:cNvPr>
        <xdr:cNvSpPr txBox="1"/>
      </xdr:nvSpPr>
      <xdr:spPr>
        <a:xfrm>
          <a:off x="14432477" y="1482436"/>
          <a:ext cx="664029" cy="349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U</a:t>
          </a:r>
        </a:p>
      </xdr:txBody>
    </xdr:sp>
    <xdr:clientData/>
  </xdr:twoCellAnchor>
  <xdr:twoCellAnchor>
    <xdr:from>
      <xdr:col>17</xdr:col>
      <xdr:colOff>50470</xdr:colOff>
      <xdr:row>14</xdr:row>
      <xdr:rowOff>112815</xdr:rowOff>
    </xdr:from>
    <xdr:to>
      <xdr:col>18</xdr:col>
      <xdr:colOff>104899</xdr:colOff>
      <xdr:row>16</xdr:row>
      <xdr:rowOff>101930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CFBFBA-EF0C-428F-A3C8-80E2A30CEE80}"/>
            </a:ext>
          </a:extLst>
        </xdr:cNvPr>
        <xdr:cNvSpPr txBox="1"/>
      </xdr:nvSpPr>
      <xdr:spPr>
        <a:xfrm>
          <a:off x="15706106" y="2675906"/>
          <a:ext cx="664029" cy="349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L</a:t>
          </a:r>
        </a:p>
      </xdr:txBody>
    </xdr:sp>
    <xdr:clientData/>
  </xdr:twoCellAnchor>
  <xdr:twoCellAnchor>
    <xdr:from>
      <xdr:col>11</xdr:col>
      <xdr:colOff>543297</xdr:colOff>
      <xdr:row>15</xdr:row>
      <xdr:rowOff>52449</xdr:rowOff>
    </xdr:from>
    <xdr:to>
      <xdr:col>13</xdr:col>
      <xdr:colOff>61356</xdr:colOff>
      <xdr:row>17</xdr:row>
      <xdr:rowOff>41564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DE4D19-0D22-440D-ADDA-DFEC6E42DEF1}"/>
            </a:ext>
          </a:extLst>
        </xdr:cNvPr>
        <xdr:cNvSpPr txBox="1"/>
      </xdr:nvSpPr>
      <xdr:spPr>
        <a:xfrm>
          <a:off x="12541333" y="2795649"/>
          <a:ext cx="737259" cy="349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R</a:t>
          </a:r>
        </a:p>
      </xdr:txBody>
    </xdr:sp>
    <xdr:clientData/>
  </xdr:twoCellAnchor>
  <xdr:twoCellAnchor>
    <xdr:from>
      <xdr:col>14</xdr:col>
      <xdr:colOff>398812</xdr:colOff>
      <xdr:row>11</xdr:row>
      <xdr:rowOff>145470</xdr:rowOff>
    </xdr:from>
    <xdr:to>
      <xdr:col>15</xdr:col>
      <xdr:colOff>453241</xdr:colOff>
      <xdr:row>13</xdr:row>
      <xdr:rowOff>140523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B0F1B97-0F13-4FCD-942E-98E0D359C6B4}"/>
            </a:ext>
          </a:extLst>
        </xdr:cNvPr>
        <xdr:cNvSpPr txBox="1"/>
      </xdr:nvSpPr>
      <xdr:spPr>
        <a:xfrm>
          <a:off x="14225648" y="2168234"/>
          <a:ext cx="664029" cy="355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F</a:t>
          </a:r>
        </a:p>
      </xdr:txBody>
    </xdr:sp>
    <xdr:clientData/>
  </xdr:twoCellAnchor>
  <xdr:twoCellAnchor>
    <xdr:from>
      <xdr:col>18</xdr:col>
      <xdr:colOff>66302</xdr:colOff>
      <xdr:row>12</xdr:row>
      <xdr:rowOff>159325</xdr:rowOff>
    </xdr:from>
    <xdr:to>
      <xdr:col>19</xdr:col>
      <xdr:colOff>120731</xdr:colOff>
      <xdr:row>14</xdr:row>
      <xdr:rowOff>154378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AA851D-500C-445F-93A1-8B329862FF9A}"/>
            </a:ext>
          </a:extLst>
        </xdr:cNvPr>
        <xdr:cNvSpPr txBox="1"/>
      </xdr:nvSpPr>
      <xdr:spPr>
        <a:xfrm>
          <a:off x="16331538" y="2362198"/>
          <a:ext cx="664029" cy="355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B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njamin Barjot" id="{1249C49A-E917-4C97-9D5A-98A9FCFEF5C6}" userId="d5cb635f22ad1331" providerId="Windows Live"/>
</personList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2" dT="2026-05-21T14:38:14.23" personId="{1249C49A-E917-4C97-9D5A-98A9FCFEF5C6}" id="{41B3CEB0-9722-4976-A88F-6D7AD3BCBAE5}">
    <text>Plate thickness</text>
  </threadedComment>
  <threadedComment ref="E15" dT="2026-05-21T14:42:04.49" personId="{1249C49A-E917-4C97-9D5A-98A9FCFEF5C6}" id="{3CA43012-F1D0-4660-9C86-209962A916DB}">
    <text xml:space="preserve">8 for the moment  10 when RP6 &amp; LP6 will be drilled </text>
  </threadedComment>
  <threadedComment ref="F16" dT="2026-05-26T11:47:50.64" personId="{1249C49A-E917-4C97-9D5A-98A9FCFEF5C6}" id="{4E858750-5357-4117-9D35-2AEFE99287AF}">
    <text>Lxl= 0.603*0,610</text>
  </threadedComment>
  <threadedComment ref="F23" dT="2026-05-30T10:37:12.84" personId="{1249C49A-E917-4C97-9D5A-98A9FCFEF5C6}" id="{074C822F-63E1-470F-8BF5-908BC8217FFC}">
    <text>Size of one side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1EC8-6985-4680-AF93-ED00C4CC3D23}">
  <dimension ref="B1:AA66"/>
  <sheetViews>
    <sheetView tabSelected="1" topLeftCell="A2" zoomScale="40" zoomScaleNormal="40" workbookViewId="0">
      <selection activeCell="Q27" sqref="Q27"/>
    </sheetView>
  </sheetViews>
  <sheetFormatPr defaultRowHeight="14.4" x14ac:dyDescent="0.3"/>
  <cols>
    <col min="2" max="2" width="15.88671875" customWidth="1"/>
    <col min="3" max="3" width="46.88671875" customWidth="1"/>
    <col min="9" max="9" width="16" customWidth="1"/>
    <col min="12" max="12" width="28.109375" customWidth="1"/>
    <col min="17" max="17" width="82.5546875" customWidth="1"/>
    <col min="23" max="23" width="28.6640625" customWidth="1"/>
  </cols>
  <sheetData>
    <row r="1" spans="2:27" ht="15" thickBot="1" x14ac:dyDescent="0.35"/>
    <row r="2" spans="2:27" x14ac:dyDescent="0.3">
      <c r="B2" s="97" t="s">
        <v>41</v>
      </c>
      <c r="C2" s="34" t="s">
        <v>91</v>
      </c>
      <c r="D2" s="23" t="s">
        <v>77</v>
      </c>
      <c r="E2" s="23"/>
      <c r="F2" s="23"/>
      <c r="G2" s="23"/>
      <c r="H2" s="23"/>
      <c r="I2" s="23"/>
      <c r="J2" s="23"/>
      <c r="K2" s="23"/>
      <c r="L2" s="23"/>
    </row>
    <row r="3" spans="2:27" ht="34.200000000000003" customHeight="1" x14ac:dyDescent="0.3">
      <c r="B3" s="1" t="s">
        <v>42</v>
      </c>
      <c r="C3" s="59" t="s">
        <v>87</v>
      </c>
      <c r="D3" s="23"/>
      <c r="E3" s="23"/>
      <c r="F3" s="23"/>
      <c r="G3" s="23"/>
      <c r="H3" s="23"/>
      <c r="I3" s="23"/>
      <c r="J3" s="23"/>
      <c r="K3" s="23"/>
      <c r="L3" s="23"/>
    </row>
    <row r="4" spans="2:27" ht="43.8" thickBot="1" x14ac:dyDescent="0.35">
      <c r="B4" s="1" t="s">
        <v>43</v>
      </c>
      <c r="C4" s="59" t="s">
        <v>86</v>
      </c>
      <c r="D4" s="36" t="s">
        <v>10</v>
      </c>
      <c r="E4" s="36"/>
      <c r="F4" s="36"/>
      <c r="G4" s="36"/>
      <c r="H4" s="36"/>
      <c r="I4" s="36"/>
      <c r="J4" s="36"/>
      <c r="K4" s="36"/>
      <c r="L4" s="36"/>
    </row>
    <row r="5" spans="2:27" ht="15" thickBot="1" x14ac:dyDescent="0.35">
      <c r="B5" s="4" t="s">
        <v>38</v>
      </c>
      <c r="C5" s="6" t="s">
        <v>44</v>
      </c>
      <c r="I5" s="20" t="s">
        <v>7</v>
      </c>
      <c r="J5" s="21"/>
      <c r="K5" s="22"/>
    </row>
    <row r="6" spans="2:27" ht="15" thickBot="1" x14ac:dyDescent="0.35">
      <c r="G6" s="12" t="s">
        <v>0</v>
      </c>
      <c r="H6" s="37" t="s">
        <v>1</v>
      </c>
      <c r="I6" s="13" t="s">
        <v>4</v>
      </c>
      <c r="J6" s="14" t="s">
        <v>6</v>
      </c>
      <c r="K6" s="15" t="s">
        <v>5</v>
      </c>
      <c r="L6" s="7" t="s">
        <v>8</v>
      </c>
    </row>
    <row r="7" spans="2:27" x14ac:dyDescent="0.3">
      <c r="G7" s="52" t="s">
        <v>2</v>
      </c>
      <c r="H7" s="51" t="s">
        <v>62</v>
      </c>
      <c r="I7" s="35">
        <v>45</v>
      </c>
      <c r="J7">
        <v>45.3</v>
      </c>
      <c r="K7" s="2">
        <v>38.1</v>
      </c>
      <c r="L7" s="8"/>
    </row>
    <row r="8" spans="2:27" x14ac:dyDescent="0.3">
      <c r="G8" s="52"/>
      <c r="H8" s="38" t="s">
        <v>63</v>
      </c>
      <c r="I8" s="35">
        <v>45</v>
      </c>
      <c r="J8">
        <f>J7-2</f>
        <v>43.3</v>
      </c>
      <c r="K8" s="2">
        <f>K7+2</f>
        <v>40.1</v>
      </c>
      <c r="L8" s="8"/>
    </row>
    <row r="9" spans="2:27" x14ac:dyDescent="0.3">
      <c r="G9" s="52"/>
      <c r="H9" s="38" t="s">
        <v>64</v>
      </c>
      <c r="I9" s="35">
        <v>45</v>
      </c>
      <c r="J9" s="16">
        <f>J7-4</f>
        <v>41.3</v>
      </c>
      <c r="K9" s="39">
        <f>K7</f>
        <v>38.1</v>
      </c>
      <c r="L9" s="8"/>
    </row>
    <row r="10" spans="2:27" x14ac:dyDescent="0.3">
      <c r="G10" s="52"/>
      <c r="H10" s="38" t="s">
        <v>65</v>
      </c>
      <c r="I10" s="35">
        <v>45</v>
      </c>
      <c r="J10" s="16">
        <f>J8</f>
        <v>43.3</v>
      </c>
      <c r="K10" s="39">
        <f>K7-2</f>
        <v>36.1</v>
      </c>
      <c r="L10" s="8"/>
      <c r="W10" s="17"/>
    </row>
    <row r="11" spans="2:27" x14ac:dyDescent="0.3">
      <c r="G11" s="52"/>
      <c r="H11" s="38" t="s">
        <v>66</v>
      </c>
      <c r="I11" s="35">
        <v>45</v>
      </c>
      <c r="J11" s="16">
        <v>59.8</v>
      </c>
      <c r="K11" s="39">
        <v>38.1</v>
      </c>
      <c r="L11" s="8"/>
      <c r="W11" s="17"/>
    </row>
    <row r="12" spans="2:27" ht="15" thickBot="1" x14ac:dyDescent="0.35">
      <c r="G12" s="52"/>
      <c r="H12" s="38" t="s">
        <v>67</v>
      </c>
      <c r="I12" s="35">
        <v>45</v>
      </c>
      <c r="J12" s="16">
        <v>25.5</v>
      </c>
      <c r="K12" s="39">
        <v>38.5</v>
      </c>
      <c r="L12" s="8"/>
      <c r="W12" s="17"/>
    </row>
    <row r="13" spans="2:27" x14ac:dyDescent="0.3">
      <c r="D13" s="28"/>
      <c r="E13" s="28"/>
      <c r="F13" s="29"/>
      <c r="G13" s="55" t="s">
        <v>3</v>
      </c>
      <c r="H13" s="51" t="s">
        <v>56</v>
      </c>
      <c r="I13" s="40">
        <v>-45</v>
      </c>
      <c r="J13" s="40">
        <v>46.7</v>
      </c>
      <c r="K13" s="41">
        <v>39.6</v>
      </c>
      <c r="L13" s="9"/>
      <c r="W13" s="17"/>
    </row>
    <row r="14" spans="2:27" x14ac:dyDescent="0.3">
      <c r="D14" s="28"/>
      <c r="E14" s="28"/>
      <c r="F14" s="29"/>
      <c r="G14" s="52"/>
      <c r="H14" s="38" t="s">
        <v>57</v>
      </c>
      <c r="I14" s="53">
        <v>-45</v>
      </c>
      <c r="J14" s="16">
        <f>J13-2</f>
        <v>44.7</v>
      </c>
      <c r="K14" s="39">
        <f>K13-2</f>
        <v>37.6</v>
      </c>
      <c r="L14" s="8"/>
      <c r="W14" s="17"/>
    </row>
    <row r="15" spans="2:27" x14ac:dyDescent="0.3">
      <c r="D15" s="28"/>
      <c r="E15" s="28"/>
      <c r="F15" s="29"/>
      <c r="G15" s="52"/>
      <c r="H15" s="38" t="s">
        <v>58</v>
      </c>
      <c r="I15" s="53">
        <v>-45</v>
      </c>
      <c r="J15" s="16">
        <f>J13-4</f>
        <v>42.7</v>
      </c>
      <c r="K15" s="39">
        <f>K13</f>
        <v>39.6</v>
      </c>
      <c r="L15" s="8"/>
      <c r="W15" s="17"/>
      <c r="X15" s="3"/>
      <c r="Y15" s="3"/>
      <c r="Z15" s="3"/>
      <c r="AA15" s="3"/>
    </row>
    <row r="16" spans="2:27" x14ac:dyDescent="0.3">
      <c r="D16" s="28"/>
      <c r="E16" s="28"/>
      <c r="F16" s="29"/>
      <c r="G16" s="52"/>
      <c r="H16" s="38" t="s">
        <v>59</v>
      </c>
      <c r="I16" s="53">
        <v>-45</v>
      </c>
      <c r="J16" s="16">
        <f>J13-2</f>
        <v>44.7</v>
      </c>
      <c r="K16" s="39">
        <f>K13+2</f>
        <v>41.6</v>
      </c>
      <c r="L16" s="8"/>
    </row>
    <row r="17" spans="4:12" x14ac:dyDescent="0.3">
      <c r="D17" s="28"/>
      <c r="E17" s="28"/>
      <c r="F17" s="29"/>
      <c r="G17" s="52"/>
      <c r="H17" s="38" t="s">
        <v>61</v>
      </c>
      <c r="I17" s="53">
        <v>-45</v>
      </c>
      <c r="J17" s="16">
        <v>59.3</v>
      </c>
      <c r="K17" s="39">
        <v>39.9</v>
      </c>
      <c r="L17" s="8"/>
    </row>
    <row r="18" spans="4:12" ht="15" thickBot="1" x14ac:dyDescent="0.35">
      <c r="D18" s="28"/>
      <c r="E18" s="28"/>
      <c r="F18" s="29"/>
      <c r="G18" s="56"/>
      <c r="H18" s="54" t="s">
        <v>60</v>
      </c>
      <c r="I18" s="42">
        <v>-45</v>
      </c>
      <c r="J18" s="42">
        <v>29</v>
      </c>
      <c r="K18" s="43">
        <v>40.299999999999997</v>
      </c>
      <c r="L18" s="10"/>
    </row>
    <row r="19" spans="4:12" x14ac:dyDescent="0.3">
      <c r="G19" s="19" t="s">
        <v>9</v>
      </c>
      <c r="H19" s="8" t="s">
        <v>68</v>
      </c>
      <c r="I19" s="44">
        <v>1.9</v>
      </c>
      <c r="J19">
        <v>90</v>
      </c>
      <c r="K19" s="2">
        <f>38.1-1.5</f>
        <v>36.6</v>
      </c>
      <c r="L19" s="8"/>
    </row>
    <row r="20" spans="4:12" x14ac:dyDescent="0.3">
      <c r="G20" s="19"/>
      <c r="H20" s="8" t="s">
        <v>69</v>
      </c>
      <c r="I20" s="44">
        <v>0.1</v>
      </c>
      <c r="J20">
        <v>90</v>
      </c>
      <c r="K20" s="2">
        <f>38.1-2-1.5</f>
        <v>34.6</v>
      </c>
      <c r="L20" s="8"/>
    </row>
    <row r="21" spans="4:12" x14ac:dyDescent="0.3">
      <c r="G21" s="19"/>
      <c r="H21" s="8" t="s">
        <v>70</v>
      </c>
      <c r="I21" s="44">
        <f>I19</f>
        <v>1.9</v>
      </c>
      <c r="J21">
        <v>90</v>
      </c>
      <c r="K21" s="2">
        <f>38.1-4-1.5</f>
        <v>32.6</v>
      </c>
      <c r="L21" s="8"/>
    </row>
    <row r="22" spans="4:12" ht="15" thickBot="1" x14ac:dyDescent="0.35">
      <c r="G22" s="19"/>
      <c r="H22" s="8" t="s">
        <v>71</v>
      </c>
      <c r="I22" s="44">
        <f>I19+2</f>
        <v>3.9</v>
      </c>
      <c r="J22" s="35">
        <v>90</v>
      </c>
      <c r="K22" s="2">
        <f>K20</f>
        <v>34.6</v>
      </c>
      <c r="L22" s="2"/>
    </row>
    <row r="23" spans="4:12" x14ac:dyDescent="0.3">
      <c r="G23" s="57" t="s">
        <v>45</v>
      </c>
      <c r="H23" s="31" t="s">
        <v>46</v>
      </c>
      <c r="I23" s="45">
        <f>-15.6+44.9</f>
        <v>29.299999999999997</v>
      </c>
      <c r="J23" s="33">
        <v>74.8</v>
      </c>
      <c r="K23" s="32">
        <v>0</v>
      </c>
      <c r="L23" s="37"/>
    </row>
    <row r="24" spans="4:12" x14ac:dyDescent="0.3">
      <c r="G24" s="52"/>
      <c r="H24" s="27" t="s">
        <v>47</v>
      </c>
      <c r="I24" s="46">
        <f>-45+13.3</f>
        <v>-31.7</v>
      </c>
      <c r="J24" s="30">
        <v>15</v>
      </c>
      <c r="K24" s="35">
        <v>0</v>
      </c>
      <c r="L24" s="8"/>
    </row>
    <row r="25" spans="4:12" x14ac:dyDescent="0.3">
      <c r="G25" s="52"/>
      <c r="H25" s="27" t="s">
        <v>48</v>
      </c>
      <c r="I25" s="46">
        <f>-15.4+44.9</f>
        <v>29.5</v>
      </c>
      <c r="J25" s="30">
        <v>26.3</v>
      </c>
      <c r="K25" s="35">
        <v>0</v>
      </c>
      <c r="L25" s="8" t="s">
        <v>90</v>
      </c>
    </row>
    <row r="26" spans="4:12" x14ac:dyDescent="0.3">
      <c r="G26" s="52"/>
      <c r="H26" s="27" t="s">
        <v>49</v>
      </c>
      <c r="I26" s="46">
        <v>-0.1</v>
      </c>
      <c r="J26" s="30">
        <v>76.3</v>
      </c>
      <c r="K26" s="35">
        <v>0</v>
      </c>
      <c r="L26" s="8" t="s">
        <v>75</v>
      </c>
    </row>
    <row r="27" spans="4:12" x14ac:dyDescent="0.3">
      <c r="G27" s="52"/>
      <c r="H27" s="27" t="s">
        <v>50</v>
      </c>
      <c r="I27" s="46">
        <v>0</v>
      </c>
      <c r="J27" s="30">
        <v>15.5</v>
      </c>
      <c r="K27" s="35">
        <v>0</v>
      </c>
      <c r="L27" s="8" t="s">
        <v>74</v>
      </c>
    </row>
    <row r="28" spans="4:12" x14ac:dyDescent="0.3">
      <c r="G28" s="52"/>
      <c r="H28" s="27" t="s">
        <v>52</v>
      </c>
      <c r="I28" s="46">
        <f>(0.5)</f>
        <v>0.5</v>
      </c>
      <c r="J28" s="30">
        <v>43.3</v>
      </c>
      <c r="K28" s="35">
        <v>0</v>
      </c>
      <c r="L28" s="8"/>
    </row>
    <row r="29" spans="4:12" x14ac:dyDescent="0.3">
      <c r="G29" s="52"/>
      <c r="H29" s="27" t="s">
        <v>54</v>
      </c>
      <c r="I29" s="46">
        <f>45-8.6</f>
        <v>36.4</v>
      </c>
      <c r="J29" s="30">
        <v>15.3</v>
      </c>
      <c r="K29" s="35">
        <v>0</v>
      </c>
      <c r="L29" s="8" t="s">
        <v>78</v>
      </c>
    </row>
    <row r="30" spans="4:12" x14ac:dyDescent="0.3">
      <c r="G30" s="52"/>
      <c r="H30" s="27" t="s">
        <v>51</v>
      </c>
      <c r="I30" s="46">
        <f>37.8-45</f>
        <v>-7.2000000000000028</v>
      </c>
      <c r="J30" s="35">
        <v>43.5</v>
      </c>
      <c r="K30" s="35">
        <v>0</v>
      </c>
      <c r="L30" s="8" t="s">
        <v>76</v>
      </c>
    </row>
    <row r="31" spans="4:12" ht="28.8" x14ac:dyDescent="0.3">
      <c r="G31" s="52"/>
      <c r="H31" s="27" t="s">
        <v>73</v>
      </c>
      <c r="I31" s="35">
        <f>45-21.3</f>
        <v>23.7</v>
      </c>
      <c r="J31" s="30">
        <v>15.8</v>
      </c>
      <c r="K31" s="35">
        <v>0</v>
      </c>
      <c r="L31" s="60" t="s">
        <v>88</v>
      </c>
    </row>
    <row r="32" spans="4:12" x14ac:dyDescent="0.3">
      <c r="G32" s="52"/>
      <c r="H32" s="27" t="s">
        <v>72</v>
      </c>
      <c r="I32" s="35">
        <f>-45+15.3</f>
        <v>-29.7</v>
      </c>
      <c r="J32" s="35">
        <v>76.7</v>
      </c>
      <c r="K32" s="35">
        <v>0</v>
      </c>
      <c r="L32" s="8" t="s">
        <v>89</v>
      </c>
    </row>
    <row r="33" spans="7:12" ht="15" thickBot="1" x14ac:dyDescent="0.35">
      <c r="G33" s="58"/>
      <c r="H33" s="11" t="s">
        <v>79</v>
      </c>
      <c r="I33" s="5">
        <v>0</v>
      </c>
      <c r="J33" s="5">
        <v>0</v>
      </c>
      <c r="K33" s="5">
        <v>0</v>
      </c>
      <c r="L33" s="11" t="s">
        <v>80</v>
      </c>
    </row>
    <row r="54" spans="21:23" x14ac:dyDescent="0.3">
      <c r="U54" s="23" t="s">
        <v>85</v>
      </c>
      <c r="V54" s="23"/>
      <c r="W54" s="23"/>
    </row>
    <row r="55" spans="21:23" ht="15" thickBot="1" x14ac:dyDescent="0.35">
      <c r="U55" s="96"/>
      <c r="V55" s="96"/>
      <c r="W55" s="96"/>
    </row>
    <row r="56" spans="21:23" ht="15" thickBot="1" x14ac:dyDescent="0.35">
      <c r="U56" s="18" t="s">
        <v>38</v>
      </c>
      <c r="V56" s="18" t="s">
        <v>39</v>
      </c>
      <c r="W56" s="18" t="s">
        <v>40</v>
      </c>
    </row>
    <row r="57" spans="21:23" ht="15" thickBot="1" x14ac:dyDescent="0.35">
      <c r="U57" s="18">
        <v>0</v>
      </c>
      <c r="V57" s="18">
        <v>0</v>
      </c>
      <c r="W57" s="24" t="s">
        <v>36</v>
      </c>
    </row>
    <row r="58" spans="21:23" ht="15" thickBot="1" x14ac:dyDescent="0.35">
      <c r="U58" s="18">
        <v>90</v>
      </c>
      <c r="V58" s="18">
        <v>0</v>
      </c>
      <c r="W58" s="25"/>
    </row>
    <row r="59" spans="21:23" ht="15" thickBot="1" x14ac:dyDescent="0.35">
      <c r="U59" s="18">
        <v>90</v>
      </c>
      <c r="V59" s="18">
        <v>90</v>
      </c>
      <c r="W59" s="25"/>
    </row>
    <row r="60" spans="21:23" ht="15" thickBot="1" x14ac:dyDescent="0.35">
      <c r="U60" s="18">
        <v>0</v>
      </c>
      <c r="V60" s="18">
        <v>90</v>
      </c>
      <c r="W60" s="25"/>
    </row>
    <row r="61" spans="21:23" ht="15" thickBot="1" x14ac:dyDescent="0.35">
      <c r="U61" s="18">
        <v>0</v>
      </c>
      <c r="V61" s="18">
        <v>0</v>
      </c>
      <c r="W61" s="26"/>
    </row>
    <row r="62" spans="21:23" ht="15" thickBot="1" x14ac:dyDescent="0.35">
      <c r="U62" s="18">
        <v>-45</v>
      </c>
      <c r="V62" s="18">
        <v>0</v>
      </c>
      <c r="W62" s="24" t="s">
        <v>37</v>
      </c>
    </row>
    <row r="63" spans="21:23" ht="15" thickBot="1" x14ac:dyDescent="0.35">
      <c r="U63" s="18">
        <v>-45</v>
      </c>
      <c r="V63" s="18">
        <v>90</v>
      </c>
      <c r="W63" s="25"/>
    </row>
    <row r="64" spans="21:23" ht="15" thickBot="1" x14ac:dyDescent="0.35">
      <c r="U64" s="18">
        <v>45</v>
      </c>
      <c r="V64" s="18">
        <v>90</v>
      </c>
      <c r="W64" s="25"/>
    </row>
    <row r="65" spans="21:23" ht="15" thickBot="1" x14ac:dyDescent="0.35">
      <c r="U65" s="18">
        <v>45</v>
      </c>
      <c r="V65" s="18">
        <v>0</v>
      </c>
      <c r="W65" s="25"/>
    </row>
    <row r="66" spans="21:23" ht="15" thickBot="1" x14ac:dyDescent="0.35">
      <c r="U66" s="18">
        <v>-45</v>
      </c>
      <c r="V66" s="18">
        <v>0</v>
      </c>
      <c r="W66" s="26"/>
    </row>
  </sheetData>
  <mergeCells count="10">
    <mergeCell ref="W57:W61"/>
    <mergeCell ref="W62:W66"/>
    <mergeCell ref="G23:G33"/>
    <mergeCell ref="U54:W55"/>
    <mergeCell ref="D2:L3"/>
    <mergeCell ref="D4:L4"/>
    <mergeCell ref="I5:K5"/>
    <mergeCell ref="G7:G12"/>
    <mergeCell ref="G13:G18"/>
    <mergeCell ref="G19:G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6A26-F2C4-45B3-8CE6-57C9126423D6}">
  <dimension ref="C2:J37"/>
  <sheetViews>
    <sheetView topLeftCell="A6" zoomScale="70" zoomScaleNormal="70" workbookViewId="0">
      <selection activeCell="M24" sqref="M24"/>
    </sheetView>
  </sheetViews>
  <sheetFormatPr defaultRowHeight="14.4" x14ac:dyDescent="0.3"/>
  <cols>
    <col min="3" max="3" width="25" customWidth="1"/>
    <col min="4" max="4" width="27.33203125" customWidth="1"/>
    <col min="5" max="7" width="19" customWidth="1"/>
    <col min="8" max="8" width="19.21875" customWidth="1"/>
    <col min="9" max="9" width="13" customWidth="1"/>
    <col min="10" max="10" width="12.88671875" customWidth="1"/>
    <col min="11" max="11" width="8.33203125" customWidth="1"/>
  </cols>
  <sheetData>
    <row r="2" spans="3:9" ht="15.6" x14ac:dyDescent="0.3">
      <c r="D2" s="90" t="s">
        <v>27</v>
      </c>
      <c r="E2" s="91"/>
      <c r="F2" s="91"/>
      <c r="G2" s="91"/>
      <c r="H2" s="91"/>
      <c r="I2" s="92"/>
    </row>
    <row r="3" spans="3:9" x14ac:dyDescent="0.3">
      <c r="D3" s="61" t="s">
        <v>12</v>
      </c>
      <c r="E3" s="94" t="s">
        <v>28</v>
      </c>
      <c r="F3" s="94" t="s">
        <v>29</v>
      </c>
      <c r="G3" s="94" t="s">
        <v>30</v>
      </c>
      <c r="H3" s="94" t="s">
        <v>31</v>
      </c>
      <c r="I3" s="95" t="s">
        <v>84</v>
      </c>
    </row>
    <row r="4" spans="3:9" x14ac:dyDescent="0.3">
      <c r="D4" s="71" t="s">
        <v>34</v>
      </c>
      <c r="E4" s="50">
        <v>0.89800000000000002</v>
      </c>
      <c r="F4" s="50">
        <v>0.89400000000000002</v>
      </c>
      <c r="G4" s="50">
        <v>0.89300000000000002</v>
      </c>
      <c r="H4" s="93">
        <f>E4*F4*G4</f>
        <v>0.71691111600000013</v>
      </c>
      <c r="I4" s="49">
        <f>H4*1000</f>
        <v>716.91111600000011</v>
      </c>
    </row>
    <row r="7" spans="3:9" ht="15.6" x14ac:dyDescent="0.3">
      <c r="D7" s="87" t="s">
        <v>11</v>
      </c>
      <c r="E7" s="88"/>
      <c r="F7" s="88"/>
      <c r="G7" s="88"/>
      <c r="H7" s="88"/>
      <c r="I7" s="89"/>
    </row>
    <row r="8" spans="3:9" x14ac:dyDescent="0.3">
      <c r="D8" s="73" t="s">
        <v>12</v>
      </c>
      <c r="E8" s="74" t="s">
        <v>13</v>
      </c>
      <c r="F8" s="74" t="s">
        <v>20</v>
      </c>
      <c r="G8" s="74" t="s">
        <v>21</v>
      </c>
      <c r="H8" s="74" t="s">
        <v>32</v>
      </c>
      <c r="I8" s="75" t="s">
        <v>55</v>
      </c>
    </row>
    <row r="9" spans="3:9" x14ac:dyDescent="0.3">
      <c r="C9" s="23" t="e" vm="1">
        <v>#VALUE!</v>
      </c>
      <c r="D9" s="63" t="s">
        <v>17</v>
      </c>
      <c r="E9" s="35">
        <v>1</v>
      </c>
      <c r="F9" s="46">
        <v>0.05</v>
      </c>
      <c r="G9" s="46">
        <v>0.157</v>
      </c>
      <c r="H9" s="64">
        <f>PI()*((F9/2)^2)*G9*E9</f>
        <v>3.0826877913349849E-4</v>
      </c>
      <c r="I9" s="48">
        <f>H9*1000</f>
        <v>0.30826877913349848</v>
      </c>
    </row>
    <row r="10" spans="3:9" x14ac:dyDescent="0.3">
      <c r="C10" s="23"/>
      <c r="D10" s="63" t="s">
        <v>18</v>
      </c>
      <c r="E10" s="35">
        <v>1</v>
      </c>
      <c r="F10" s="46">
        <v>0.05</v>
      </c>
      <c r="G10" s="46">
        <v>0.18099999999999999</v>
      </c>
      <c r="H10" s="64">
        <f t="shared" ref="H10:H12" si="0">PI()*((F10/2)^2)*G10*E10</f>
        <v>3.5539266893734535E-4</v>
      </c>
      <c r="I10" s="48">
        <f t="shared" ref="I10:I19" si="1">H10*1000</f>
        <v>0.35539266893734534</v>
      </c>
    </row>
    <row r="11" spans="3:9" x14ac:dyDescent="0.3">
      <c r="C11" s="23"/>
      <c r="D11" s="63" t="s">
        <v>19</v>
      </c>
      <c r="E11" s="35">
        <v>1</v>
      </c>
      <c r="F11" s="46">
        <v>5.5E-2</v>
      </c>
      <c r="G11" s="46">
        <v>0.16</v>
      </c>
      <c r="H11" s="64">
        <f t="shared" si="0"/>
        <v>3.8013271108436499E-4</v>
      </c>
      <c r="I11" s="48">
        <f t="shared" si="1"/>
        <v>0.38013271108436497</v>
      </c>
    </row>
    <row r="12" spans="3:9" x14ac:dyDescent="0.3">
      <c r="C12" s="23"/>
      <c r="D12" s="63" t="s">
        <v>81</v>
      </c>
      <c r="E12" s="35">
        <v>6</v>
      </c>
      <c r="F12" s="46">
        <v>1.0999999999999999E-2</v>
      </c>
      <c r="G12" s="46">
        <f>0.01</f>
        <v>0.01</v>
      </c>
      <c r="H12" s="64">
        <f t="shared" si="0"/>
        <v>5.7019906662654741E-6</v>
      </c>
      <c r="I12" s="48">
        <f t="shared" si="1"/>
        <v>5.7019906662654739E-3</v>
      </c>
    </row>
    <row r="13" spans="3:9" x14ac:dyDescent="0.3">
      <c r="C13" s="23"/>
      <c r="D13" s="63"/>
      <c r="E13" s="35"/>
      <c r="F13" s="46"/>
      <c r="G13" s="46"/>
      <c r="H13" s="64"/>
      <c r="I13" s="48"/>
    </row>
    <row r="14" spans="3:9" x14ac:dyDescent="0.3">
      <c r="C14" s="23"/>
      <c r="D14" s="63" t="s">
        <v>23</v>
      </c>
      <c r="E14" s="35">
        <v>1</v>
      </c>
      <c r="F14" s="46">
        <v>1.4E-2</v>
      </c>
      <c r="G14" s="46">
        <v>0.01</v>
      </c>
      <c r="H14" s="64">
        <f>PI()*((F14/2)^2)*E14*G14</f>
        <v>1.5393804002589988E-6</v>
      </c>
      <c r="I14" s="48">
        <f t="shared" si="1"/>
        <v>1.5393804002589988E-3</v>
      </c>
    </row>
    <row r="15" spans="3:9" x14ac:dyDescent="0.3">
      <c r="C15" s="23"/>
      <c r="D15" s="63" t="s">
        <v>22</v>
      </c>
      <c r="E15" s="35">
        <v>10</v>
      </c>
      <c r="F15" s="46">
        <v>1.4E-2</v>
      </c>
      <c r="G15" s="46">
        <v>0.01</v>
      </c>
      <c r="H15" s="64">
        <f>PI()*((F15/2)^2)*E15*G15</f>
        <v>1.5393804002589989E-5</v>
      </c>
      <c r="I15" s="48">
        <f t="shared" si="1"/>
        <v>1.539380400258999E-2</v>
      </c>
    </row>
    <row r="16" spans="3:9" x14ac:dyDescent="0.3">
      <c r="D16" s="63" t="s">
        <v>53</v>
      </c>
      <c r="E16" s="35">
        <v>1</v>
      </c>
      <c r="F16" s="46">
        <v>0.60299999999999998</v>
      </c>
      <c r="G16" s="46">
        <v>1.4E-2</v>
      </c>
      <c r="H16" s="64">
        <f>F16*0.61*G16*E16</f>
        <v>5.1496199999999997E-3</v>
      </c>
      <c r="I16" s="48">
        <f t="shared" si="1"/>
        <v>5.1496199999999996</v>
      </c>
    </row>
    <row r="17" spans="3:10" x14ac:dyDescent="0.3">
      <c r="D17" s="79" t="s">
        <v>82</v>
      </c>
      <c r="E17" s="80"/>
      <c r="F17" s="80"/>
      <c r="G17" s="80"/>
      <c r="H17" s="83">
        <f>SUM(H9:H16)</f>
        <v>6.2160493342243231E-3</v>
      </c>
      <c r="I17" s="62">
        <f t="shared" si="1"/>
        <v>6.2160493342243228</v>
      </c>
    </row>
    <row r="21" spans="3:10" ht="15.6" x14ac:dyDescent="0.3">
      <c r="D21" s="84" t="s">
        <v>14</v>
      </c>
      <c r="E21" s="85"/>
      <c r="F21" s="85"/>
      <c r="G21" s="85"/>
      <c r="H21" s="85"/>
      <c r="I21" s="85"/>
      <c r="J21" s="86"/>
    </row>
    <row r="22" spans="3:10" ht="15" thickBot="1" x14ac:dyDescent="0.35">
      <c r="D22" s="65" t="s">
        <v>12</v>
      </c>
      <c r="E22" s="66" t="s">
        <v>13</v>
      </c>
      <c r="F22" s="66" t="s">
        <v>21</v>
      </c>
      <c r="G22" s="66" t="s">
        <v>25</v>
      </c>
      <c r="H22" s="66" t="s">
        <v>26</v>
      </c>
      <c r="I22" s="66" t="s">
        <v>33</v>
      </c>
      <c r="J22" s="67" t="s">
        <v>55</v>
      </c>
    </row>
    <row r="23" spans="3:10" ht="48" customHeight="1" x14ac:dyDescent="0.3">
      <c r="C23" t="e" vm="2">
        <v>#VALUE!</v>
      </c>
      <c r="D23" s="68" t="s">
        <v>15</v>
      </c>
      <c r="E23" s="69">
        <v>10</v>
      </c>
      <c r="F23" s="46">
        <v>1.7000000000000001E-2</v>
      </c>
      <c r="G23" s="70" t="s">
        <v>24</v>
      </c>
      <c r="H23" s="46">
        <v>1.15E-2</v>
      </c>
      <c r="I23" s="46">
        <f>3/2*SQRT(3)*(F23^2)*H23*E23</f>
        <v>8.6347062884327471E-5</v>
      </c>
      <c r="J23" s="48">
        <f>I23*1000</f>
        <v>8.6347062884327475E-2</v>
      </c>
    </row>
    <row r="24" spans="3:10" ht="45.6" customHeight="1" x14ac:dyDescent="0.3">
      <c r="C24" t="e" vm="3">
        <v>#VALUE!</v>
      </c>
      <c r="D24" s="68" t="s">
        <v>16</v>
      </c>
      <c r="E24" s="69">
        <v>12</v>
      </c>
      <c r="F24" s="46">
        <v>0.17</v>
      </c>
      <c r="G24" s="46">
        <v>0.115</v>
      </c>
      <c r="H24" s="46">
        <v>1.4999999999999999E-2</v>
      </c>
      <c r="I24" s="46">
        <f>F24*G24*H24*E24</f>
        <v>3.519E-3</v>
      </c>
      <c r="J24" s="48">
        <f>I24*1000</f>
        <v>3.5190000000000001</v>
      </c>
    </row>
    <row r="25" spans="3:10" x14ac:dyDescent="0.3">
      <c r="D25" s="63"/>
      <c r="E25" s="35"/>
      <c r="F25" s="35"/>
      <c r="G25" s="35"/>
      <c r="H25" s="35"/>
      <c r="I25" s="35"/>
      <c r="J25" s="48"/>
    </row>
    <row r="26" spans="3:10" x14ac:dyDescent="0.3">
      <c r="D26" s="63"/>
      <c r="E26" s="35"/>
      <c r="F26" s="35"/>
      <c r="G26" s="35"/>
      <c r="H26" s="35"/>
      <c r="I26" s="35"/>
      <c r="J26" s="48"/>
    </row>
    <row r="27" spans="3:10" x14ac:dyDescent="0.3">
      <c r="D27" s="63"/>
      <c r="E27" s="35"/>
      <c r="F27" s="35"/>
      <c r="G27" s="35"/>
      <c r="H27" s="35"/>
      <c r="I27" s="35"/>
      <c r="J27" s="48"/>
    </row>
    <row r="28" spans="3:10" x14ac:dyDescent="0.3">
      <c r="D28" s="79" t="s">
        <v>83</v>
      </c>
      <c r="E28" s="80"/>
      <c r="F28" s="80"/>
      <c r="G28" s="80"/>
      <c r="H28" s="81"/>
      <c r="I28" s="82">
        <f>SUM(I23:I27)</f>
        <v>3.6053470628843276E-3</v>
      </c>
      <c r="J28" s="62">
        <f t="shared" ref="J25:J28" si="2">I28*1000</f>
        <v>3.6053470628843276</v>
      </c>
    </row>
    <row r="33" spans="4:9" ht="15" thickBot="1" x14ac:dyDescent="0.35">
      <c r="H33" s="53" t="s">
        <v>31</v>
      </c>
      <c r="I33" s="53" t="s">
        <v>84</v>
      </c>
    </row>
    <row r="34" spans="4:9" ht="16.2" thickBot="1" x14ac:dyDescent="0.35">
      <c r="D34" s="76" t="s">
        <v>35</v>
      </c>
      <c r="E34" s="77"/>
      <c r="F34" s="77"/>
      <c r="G34" s="77"/>
      <c r="H34" s="78">
        <f>H4-I28+H17</f>
        <v>0.71952181827134021</v>
      </c>
      <c r="I34" s="72">
        <f>H34*1000</f>
        <v>719.52181827134018</v>
      </c>
    </row>
    <row r="37" spans="4:9" x14ac:dyDescent="0.3">
      <c r="H37" s="47"/>
    </row>
  </sheetData>
  <mergeCells count="7">
    <mergeCell ref="C9:C15"/>
    <mergeCell ref="D34:G34"/>
    <mergeCell ref="D17:G17"/>
    <mergeCell ref="D28:H28"/>
    <mergeCell ref="D7:I7"/>
    <mergeCell ref="D21:J21"/>
    <mergeCell ref="D2:I2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Sensors mapping</vt:lpstr>
      <vt:lpstr>Volume of the chamber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Barjot</dc:creator>
  <cp:lastModifiedBy>Benjamin Barjot</cp:lastModifiedBy>
  <dcterms:created xsi:type="dcterms:W3CDTF">2026-05-21T09:49:17Z</dcterms:created>
  <dcterms:modified xsi:type="dcterms:W3CDTF">2026-05-30T10:45:46Z</dcterms:modified>
</cp:coreProperties>
</file>